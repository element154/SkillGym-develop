
<file path=[Content_Types].xml><?xml version="1.0" encoding="utf-8"?>
<Types xmlns="http://schemas.openxmlformats.org/package/2006/content-types">
  <Default Extension="png" ContentType="image/png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260" activeTab="3"/>
  </bookViews>
  <sheets>
    <sheet sheetId="3" name="Summary" state="visible" r:id="rId4"/>
    <sheet sheetId="6" name="Key DCF Assumptions" state="visible" r:id="rId5"/>
    <sheet sheetId="4" name="WACC &amp; Cost of Equity" state="visible" r:id="rId6"/>
    <sheet sheetId="5" name="DCF Model &amp; Sensitivity" state="visible" r:id="rId7"/>
    <sheet sheetId="12" name="KPI Data" state="visible" r:id="rId8"/>
    <sheet sheetId="13" name="Income Statement" state="visible" r:id="rId9"/>
    <sheet sheetId="14" name="Balance Sheet" state="visible" r:id="rId10"/>
    <sheet sheetId="15" name="Cash Flow Statement" state="visible" r:id="rId11"/>
    <sheet sheetId="16" name="Valuation" state="visible" r:id="rId12"/>
  </sheets>
  <definedNames>
    <definedName name="_3__123Graph_ALIQUIDS">'[2]P'!$S$78:$AL$78</definedName>
    <definedName name="_6__123Graph_XLIQUIDS">'[2]P'!$R$29:$AK$29</definedName>
    <definedName name="_7__123Graph_XR_M_MARG">'[2]P'!$R$29:$AK$29</definedName>
    <definedName name="_TBL1">'[6]SENSITIVITY'!$E$9:$K$9</definedName>
    <definedName name="_TBL2">'[6]SENSITIVITY'!$E$10:$K$10</definedName>
    <definedName name="_TBL3">'[6]SENSITIVITY'!$C$26:$I$32</definedName>
    <definedName name="app_lifecycle">'[7]Valuation'!$G$38</definedName>
    <definedName name="audience_cov_sens">'[8]Sensitivities'!$G$8</definedName>
    <definedName name="avg_commission_increase">'[9]cohorts_all'!$V$3</definedName>
    <definedName name="avg_Discount_rate">'[9]cohorts_all'!$V$2</definedName>
    <definedName name="bgn">'[10]CAPEX new'!$G$3</definedName>
    <definedName name="CAC_sens">'[8]Sensitivities'!$G$6</definedName>
    <definedName name="commission_rate">'[7]Valuation'!$G$48</definedName>
    <definedName name="Control">'[11]PnL + CFS'!$D$2</definedName>
    <definedName name="cpm_price">'[7]Valuation'!$G$47</definedName>
    <definedName name="data1">'[12]Data Sheet'!$G$14</definedName>
    <definedName name="dead_apps_lifecycle">'[7]Valuation'!$G$28</definedName>
    <definedName name="dead_apps_norm_period">'[7]Valuation'!$G$29</definedName>
    <definedName name="dead_apps_norm_retention">'[7]Valuation'!$G$30</definedName>
    <definedName name="Dead_apps_ret_after_decay">'[7]Valuation'!$G$32</definedName>
    <definedName name="dead_apps_start_of_decay">'[7]Valuation'!$G$31</definedName>
    <definedName name="delat_12m_retention_increase">'[9]cohorts_all'!$V$4</definedName>
    <definedName name="ebitda_margin_sens">'[8]Sensitivities'!$G$5</definedName>
    <definedName name="eof">'[13]OUTFLOW'!$A$105</definedName>
    <definedName name="eofinflow">'[14]INFLOW'!$A$169</definedName>
    <definedName name="exchange">'[10]Capex'!$C$2</definedName>
    <definedName name="final_retention">'[7]Valuation'!$G$43</definedName>
    <definedName name="FX">'[15]UE'!$C$2</definedName>
    <definedName name="headcount_opex_fixed_bus_support">'[16]Assumptions'!$K$156</definedName>
    <definedName name="headcount_opex_fixed_eng">'[16]Assumptions'!$K$151</definedName>
    <definedName name="headcount_opex_fixed_fiannce">'[16]Assumptions'!$K$150</definedName>
    <definedName name="headcount_opex_fixed_management">'[16]Assumptions'!$K$148</definedName>
    <definedName name="headcount_opex_fixed_marketing">'[16]Assumptions'!$K$149</definedName>
    <definedName name="headcount_opex_fixed_network_management">'[16]Assumptions'!$K$155</definedName>
    <definedName name="headcount_opex_fixed_ops">'[16]Assumptions'!$K$152</definedName>
    <definedName name="headcount_opex_fixed_service_dev">'[16]Assumptions'!$K$154</definedName>
    <definedName name="headcount_opex_fixed_transport_and_switching">'[16]Assumptions'!$K$153</definedName>
    <definedName name="headcount_opex_variable_bus_support">'[16]Assumptions'!$L$156</definedName>
    <definedName name="headcount_opex_variable_eng">'[16]Assumptions'!$L$151</definedName>
    <definedName name="headcount_opex_variable_finance">'[16]Assumptions'!$L$150</definedName>
    <definedName name="headcount_opex_variable_management">'[16]Assumptions'!$L$148</definedName>
    <definedName name="headcount_opex_variable_marketing">'[16]Assumptions'!$L$149</definedName>
    <definedName name="headcount_opex_variable_network_management">'[16]Assumptions'!$L$155</definedName>
    <definedName name="headcount_opex_variable_ops">'[16]Assumptions'!$L$152</definedName>
    <definedName name="headcount_opex_variable_service_dev">'[16]Assumptions'!$L$154</definedName>
    <definedName name="headcount_opex_variable_transport_and_switching">'[16]Assumptions'!$L$153</definedName>
    <definedName name="HTML_C">$K$1:$S$107</definedName>
    <definedName name="HTML_Control">$K$1:$S$107</definedName>
    <definedName name="HTML1_1">'"[ReturnsHistorical]Sheet1'!$A$1:$D$77</definedName>
    <definedName name="HTML2_1">'"[histret.xls]Sheet1'!$A$1:$G$85</definedName>
    <definedName name="inflation_scenario">'[17]Valuation'!$G$14</definedName>
    <definedName name="med_apps_lifecycle">'[7]Valuation'!$G$21</definedName>
    <definedName name="med_apps_norm_period">'[7]Valuation'!$G$22</definedName>
    <definedName name="Med_apps_norm_retention">'[7]Valuation'!$G$23</definedName>
    <definedName name="med_apps_ret_after_decay">'[7]Valuation'!$G$25</definedName>
    <definedName name="med_apps_start_of_decay">'[7]Valuation'!$G$24</definedName>
    <definedName name="MONOFIRST">'[6]SENSITIVITY'!$B$38</definedName>
    <definedName name="norm_period">'[7]Valuation'!$G$39</definedName>
    <definedName name="norm_retention">'[7]Valuation'!$G$42</definedName>
    <definedName name="old_apps_decay">'[7]Valuation'!$G$41</definedName>
    <definedName name="prod_units_capex_sens">'[8]Sensitivities'!$G$7</definedName>
    <definedName name="req_to_impression">'[7]Valuation'!$G$46</definedName>
    <definedName name="Scenario">'[7]Valuation'!$G$5</definedName>
    <definedName name="Social_tax">'[18]Assumptions'!$D$13</definedName>
    <definedName name="start_of_decay">'[7]Valuation'!$G$40</definedName>
    <definedName name="synergies_on_off">'[17]Valuation'!$G$12</definedName>
    <definedName name="terminal_growth_sens">'[8]Sensitivities'!$G$4</definedName>
    <definedName name="top_app_lifecycle">'[7]Valuation'!$G$14</definedName>
    <definedName name="top_apps_norm_period">'[7]Valuation'!$G$15</definedName>
    <definedName name="top_apps_norm_retention">'[7]Valuation'!$G$16</definedName>
    <definedName name="Top_apps_ret_after_decay">'[7]Valuation'!$G$18</definedName>
    <definedName name="top_apps_start_of_decay">'[7]Valuation'!$G$17</definedName>
    <definedName name="TWOFIRST">'[6]SENSITIVITY'!$B$42</definedName>
    <definedName name="usd">'[10]CAPEX new'!$G$3</definedName>
    <definedName name="Z_2185FC51_7502_43A8_900A_0000B7F738F9_.wvu.Rows">'[19]Forecast'!$A$26:$IV$29,'[19]Forecast'!$A$35:$IV$36,'[19]Forecast'!$A$52:$IV$52,'[19]Forecast'!$A$56:$IV$60,'[19]Forecast'!$A$93:$IV$95,'[19]Forecast'!$A$106:$IV$114,'[19]Forecast'!$A$119:$IV$120,'[19]Forecast'!$A$123:$IV$124,'[19]Forecast'!$A$189:$IV$189,'[19]Forecast'!$A$254:$IV$254,'[19]Forecast'!$A$258:$IV$267,'[19]Forecast'!$A$270:$IV$271,'[19]Forecast'!$A$273:$IV$313,'[19]Forecast'!$A$317:$IV$318,'[19]Forecast'!$A$322:$IV$327,'[19]Forecast'!$A$339:$IV$339</definedName>
    <definedName name="Z_99D15F62_90C4_405A_985F_7C185F19F985_.wvu.Rows">'[19]Forecast'!$A$26:$IV$29,'[19]Forecast'!$A$35:$IV$36,'[19]Forecast'!$A$52:$IV$52,'[19]Forecast'!$A$56:$IV$60,'[19]Forecast'!$A$93:$IV$95,'[19]Forecast'!$A$106:$IV$114,'[19]Forecast'!$A$119:$IV$120,'[19]Forecast'!$A$123:$IV$124,'[19]Forecast'!$A$189:$IV$189,'[19]Forecast'!$A$254:$IV$254,'[19]Forecast'!$A$258:$IV$267,'[19]Forecast'!$A$270:$IV$271,'[19]Forecast'!$A$273:$IV$313,'[19]Forecast'!$A$317:$IV$318,'[19]Forecast'!$A$322:$IV$327,'[19]Forecast'!$A$339:$IV$339</definedName>
    <definedName name="код_проекта">'[13]Projects'!$A$2:$A$22</definedName>
    <definedName name="проект">'[13]Projects'!$B$2:$B$33</definedName>
    <definedName name="услуга">'[13]Projects'!$F$2:$F$22</definedName>
    <definedName name="ф.19">'[20]Пояснение '!$I$1</definedName>
    <definedName name="форма26МГТС">'[21]Лист1'!$K$1</definedName>
    <definedName name="чист.активы">'[21]Лист1'!$K$2</definedName>
  </definedNames>
  <calcPr calcId="171027"/>
</workbook>
</file>

<file path=xl/sharedStrings.xml><?xml version="1.0" encoding="utf-8"?>
<sst xmlns="http://schemas.openxmlformats.org/spreadsheetml/2006/main" count="386" uniqueCount="208">
  <si>
    <t>PennyMac Financial Services, Inc. (PFSI) | DCF Model</t>
  </si>
  <si>
    <t>https://valuesense.io/ticker/pfsi</t>
  </si>
  <si>
    <t>Date of data download:</t>
  </si>
  <si>
    <t>Key DCF Assumptions</t>
  </si>
  <si>
    <t>WACC &amp; Cost of Equity</t>
  </si>
  <si>
    <t>DCF Model &amp; Sensitivity</t>
  </si>
  <si>
    <t>KPI Data</t>
  </si>
  <si>
    <t>Income Statement</t>
  </si>
  <si>
    <t>Balance Sheet</t>
  </si>
  <si>
    <t>Cash Flow Statement</t>
  </si>
  <si>
    <t>Valuation</t>
  </si>
  <si>
    <t>PennyMac Financial Services, Inc. (PFSI) | Key DCF Assumptions</t>
  </si>
  <si>
    <t>Metric</t>
  </si>
  <si>
    <t>Scenario Modelling</t>
  </si>
  <si>
    <t/>
  </si>
  <si>
    <t>Revenue growth</t>
  </si>
  <si>
    <t>Bull to Base</t>
  </si>
  <si>
    <t>Bear to Base</t>
  </si>
  <si>
    <t>Operating income margin</t>
  </si>
  <si>
    <t>D&amp;A</t>
  </si>
  <si>
    <t>CAPEX</t>
  </si>
  <si>
    <t>Change in Working Capital</t>
  </si>
  <si>
    <t>Discount rates</t>
  </si>
  <si>
    <t>WACC</t>
  </si>
  <si>
    <t>Terminal growth rate (Base case)</t>
  </si>
  <si>
    <t>Terminal Value</t>
  </si>
  <si>
    <t xml:space="preserve">Maximum Cap for Dicounted Terminal Value as % of EV </t>
  </si>
  <si>
    <t xml:space="preserve">Minimum Cap for SUM of Discounted Free Cash Flow to Firm as % of EV </t>
  </si>
  <si>
    <t>PennyMac Financial Services, Inc. (PFSI) | WACC &amp; Cost of Equity</t>
  </si>
  <si>
    <t>Cost of Equity</t>
  </si>
  <si>
    <t>Risk-free rate</t>
  </si>
  <si>
    <t>Beta</t>
  </si>
  <si>
    <t>Equity Risk Premium</t>
  </si>
  <si>
    <t>Country Risk premium</t>
  </si>
  <si>
    <t>Cost of Debt</t>
  </si>
  <si>
    <t>Average Cost of Debt</t>
  </si>
  <si>
    <t>Effective Tax Rate</t>
  </si>
  <si>
    <t>% share of Total Capital</t>
  </si>
  <si>
    <t>Cost of Debt (after-tax)</t>
  </si>
  <si>
    <t>PennyMac Financial Services, Inc. (PFSI) | DCF Model &amp; Sensitivity</t>
  </si>
  <si>
    <t>Key Assumptions &amp; Outputs</t>
  </si>
  <si>
    <t>Model Scenario (1 - Bull Case, 2 - Base Case, 3 - Bear Case, 4 - Custom) &gt;&gt;&gt;</t>
  </si>
  <si>
    <t>Sensitivity Toggles:</t>
  </si>
  <si>
    <t>% under/overvalued</t>
  </si>
  <si>
    <t>Dec'21</t>
  </si>
  <si>
    <t>Dec'22</t>
  </si>
  <si>
    <t>Dec'23</t>
  </si>
  <si>
    <t>Dec'24</t>
  </si>
  <si>
    <t>Dec'25</t>
  </si>
  <si>
    <t>Dec'26</t>
  </si>
  <si>
    <t>Dec'27</t>
  </si>
  <si>
    <t>Dec'28</t>
  </si>
  <si>
    <t>Dec'29</t>
  </si>
  <si>
    <t>Dec'30</t>
  </si>
  <si>
    <t>Dec'31</t>
  </si>
  <si>
    <t>Dec'32</t>
  </si>
  <si>
    <t>Dec'33</t>
  </si>
  <si>
    <t>Dec'34</t>
  </si>
  <si>
    <t>Dec'35</t>
  </si>
  <si>
    <t>Dec'36</t>
  </si>
  <si>
    <t>Actual</t>
  </si>
  <si>
    <t>Estimate</t>
  </si>
  <si>
    <t>Terminal</t>
  </si>
  <si>
    <t>Revenue</t>
  </si>
  <si>
    <t>% growth</t>
  </si>
  <si>
    <t>Bull Case</t>
  </si>
  <si>
    <t>Base Case</t>
  </si>
  <si>
    <t>Bear Case</t>
  </si>
  <si>
    <t>Custom</t>
  </si>
  <si>
    <t>Operating income</t>
  </si>
  <si>
    <t>% margin</t>
  </si>
  <si>
    <t>NOPAT</t>
  </si>
  <si>
    <t>% effective tax rate</t>
  </si>
  <si>
    <t>% of revenue</t>
  </si>
  <si>
    <t>Free Cash Flow to Firm (FCFF)</t>
  </si>
  <si>
    <t>% of FCFF used in calculation</t>
  </si>
  <si>
    <t>Discount period</t>
  </si>
  <si>
    <t>Discount factor</t>
  </si>
  <si>
    <t>Discounted Free Cash Flow to Firm (DFCFF)</t>
  </si>
  <si>
    <t>Equity Value bridge</t>
  </si>
  <si>
    <t>DCF Sensitivity</t>
  </si>
  <si>
    <t>SUM of DFCFF</t>
  </si>
  <si>
    <t>&gt;&gt; DO NOT FORGET TO REFRESH SENSITIVITY TABLES (ROWS 67-74): 1) Select F69-K74 (and O69-S74)  2) Go to Data -&gt; What if -&gt; Data Table 3) Choose F10 in Row and F9 in Column</t>
  </si>
  <si>
    <t>% share of EV</t>
  </si>
  <si>
    <t>DCF Value</t>
  </si>
  <si>
    <t>Terminal growth rate</t>
  </si>
  <si>
    <t>Model Scenario</t>
  </si>
  <si>
    <t>Discounted Terminal Value</t>
  </si>
  <si>
    <t>Enterprise Value</t>
  </si>
  <si>
    <t>Cash &amp; Short-term Investments</t>
  </si>
  <si>
    <t>Total Debt</t>
  </si>
  <si>
    <t>Equity Value</t>
  </si>
  <si>
    <t>Shares outstanding</t>
  </si>
  <si>
    <t>FX rate</t>
  </si>
  <si>
    <t>Under/Overvalued</t>
  </si>
  <si>
    <t>Current price</t>
  </si>
  <si>
    <t>END</t>
  </si>
  <si>
    <t>PennyMac Financial Services, Inc. (PFSI) | KPI Data</t>
  </si>
  <si>
    <t>Jun'16</t>
  </si>
  <si>
    <t>PennyMac Financial Services, Inc. (PFSI) | Income Statement</t>
  </si>
  <si>
    <t>Dec'10</t>
  </si>
  <si>
    <t>Dec'11</t>
  </si>
  <si>
    <t>Dec'12</t>
  </si>
  <si>
    <t>Dec'13</t>
  </si>
  <si>
    <t>Dec'14</t>
  </si>
  <si>
    <t>Dec'15</t>
  </si>
  <si>
    <t>Dec'16</t>
  </si>
  <si>
    <t>Dec'17</t>
  </si>
  <si>
    <t>Dec'18</t>
  </si>
  <si>
    <t>Dec'19</t>
  </si>
  <si>
    <t>Dec'20</t>
  </si>
  <si>
    <t>Cost of Goods Sold (COGS)</t>
  </si>
  <si>
    <t>Gross Profit</t>
  </si>
  <si>
    <t>Operating Expenses</t>
  </si>
  <si>
    <t>Research &amp; Development Expenses (R&amp;D)</t>
  </si>
  <si>
    <t>Selling, General &amp; Administrative Expenses (SG&amp;A)</t>
  </si>
  <si>
    <t>Operating Income</t>
  </si>
  <si>
    <t>Interest Income</t>
  </si>
  <si>
    <t>Interest Expense</t>
  </si>
  <si>
    <t>Pre-tax Income</t>
  </si>
  <si>
    <t>Income Tax</t>
  </si>
  <si>
    <t>Net Income</t>
  </si>
  <si>
    <t>EPS</t>
  </si>
  <si>
    <t>Diluted EPS</t>
  </si>
  <si>
    <t>EBITDA</t>
  </si>
  <si>
    <t>PennyMac Financial Services, Inc. (PFSI) | Balance Sheet</t>
  </si>
  <si>
    <t>Total Assets</t>
  </si>
  <si>
    <t>Current Assets</t>
  </si>
  <si>
    <t>% of total assets</t>
  </si>
  <si>
    <t>Cash &amp; Cash Equivalents</t>
  </si>
  <si>
    <t>Short-Term Investments</t>
  </si>
  <si>
    <t>Accounts Receivables</t>
  </si>
  <si>
    <t>Inventory</t>
  </si>
  <si>
    <t>Other Current Assets</t>
  </si>
  <si>
    <t>Non-Current Assets</t>
  </si>
  <si>
    <t>Property, Plant &amp; Equipment (PPE)</t>
  </si>
  <si>
    <t>Goodwill &amp; Intangible Assets</t>
  </si>
  <si>
    <t>Long-Term Investments</t>
  </si>
  <si>
    <t>Tax Assets</t>
  </si>
  <si>
    <t>Other Non-current Assets</t>
  </si>
  <si>
    <t>Total Liabilities</t>
  </si>
  <si>
    <t>Current Liabilities</t>
  </si>
  <si>
    <t>% of total liabilities</t>
  </si>
  <si>
    <t>Accounts Payables</t>
  </si>
  <si>
    <t>Short-Term Debt</t>
  </si>
  <si>
    <t>Other Current Liabilities</t>
  </si>
  <si>
    <t>Non-Current Liabilities</t>
  </si>
  <si>
    <t>Long-Term Debt</t>
  </si>
  <si>
    <t>Other Non-Current Liabilities</t>
  </si>
  <si>
    <t>Total Equity</t>
  </si>
  <si>
    <t xml:space="preserve">Common Stock </t>
  </si>
  <si>
    <t>Retained Earnings</t>
  </si>
  <si>
    <t>Preferred Stock</t>
  </si>
  <si>
    <t>Minority Investment</t>
  </si>
  <si>
    <t>Accumulated Other Income &amp; Loss</t>
  </si>
  <si>
    <t>Other Equity</t>
  </si>
  <si>
    <t>Total Liabilities &amp; Equity</t>
  </si>
  <si>
    <t>PennyMac Financial Services, Inc. (PFSI) | Cash Flow Statement</t>
  </si>
  <si>
    <t>Cash Flow from Operating Activities</t>
  </si>
  <si>
    <t>Depreciation &amp; Amortization (D&amp;A)</t>
  </si>
  <si>
    <t>Deferred Income Tax</t>
  </si>
  <si>
    <t>Stock-based Compensation</t>
  </si>
  <si>
    <t>Other Non Cash Items</t>
  </si>
  <si>
    <t>Cash Flow from Investing Activities</t>
  </si>
  <si>
    <t>Capital Expenditure</t>
  </si>
  <si>
    <t>Acquisitions Net</t>
  </si>
  <si>
    <t>Purchases of Investments</t>
  </si>
  <si>
    <t>Sales Maturities of Investments</t>
  </si>
  <si>
    <t>Other Investing Activities</t>
  </si>
  <si>
    <t>Cash Flow from Financing Activities</t>
  </si>
  <si>
    <t>Debt Repayment</t>
  </si>
  <si>
    <t>Common Stock Issued</t>
  </si>
  <si>
    <t>Common Stock Repurchased</t>
  </si>
  <si>
    <t>Dividends Paid</t>
  </si>
  <si>
    <t>Other Financing Activities</t>
  </si>
  <si>
    <t>Effect of Foreign Exchanges on Cash</t>
  </si>
  <si>
    <t>Net Change in Cash</t>
  </si>
  <si>
    <t>Cash BoP</t>
  </si>
  <si>
    <t>Cash EoP</t>
  </si>
  <si>
    <t>Free Cash Flow</t>
  </si>
  <si>
    <t>PennyMac Financial Services, Inc. (PFSI) | Valuation</t>
  </si>
  <si>
    <t>EV &amp; Equity Value</t>
  </si>
  <si>
    <t>Market Cap</t>
  </si>
  <si>
    <t>Net Debt</t>
  </si>
  <si>
    <t>LTM Multiples</t>
  </si>
  <si>
    <t>EV Multiples</t>
  </si>
  <si>
    <t>EV/Revenue</t>
  </si>
  <si>
    <t>EV/Gross Profit</t>
  </si>
  <si>
    <t>EV/EBIT</t>
  </si>
  <si>
    <t>EV/EBITDA</t>
  </si>
  <si>
    <t>EV/OCF</t>
  </si>
  <si>
    <t>EV/FCF</t>
  </si>
  <si>
    <t>Equity Value Multiples</t>
  </si>
  <si>
    <t>P/Revenue</t>
  </si>
  <si>
    <t>P/Gross Profit</t>
  </si>
  <si>
    <t>P/EBIT</t>
  </si>
  <si>
    <t>P/EBITDA</t>
  </si>
  <si>
    <t>P/OCF</t>
  </si>
  <si>
    <t>P/FCF</t>
  </si>
  <si>
    <t>P/E</t>
  </si>
  <si>
    <t>P/BV</t>
  </si>
  <si>
    <t>PEG Multiples</t>
  </si>
  <si>
    <t>PEG 1Y</t>
  </si>
  <si>
    <t>PEG 2Y</t>
  </si>
  <si>
    <t>NTM Multiples</t>
  </si>
  <si>
    <t>Forward Multiples</t>
  </si>
  <si>
    <t>1Y Forward</t>
  </si>
  <si>
    <t>2Y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</si>
</sst>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[$-409]mmm-yy;@"/>
    <numFmt numFmtId="165" formatCode="0.0x"/>
    <numFmt numFmtId="166" formatCode="+0.0%;-0.0%;-"/>
    <numFmt numFmtId="167" formatCode="0.0%"/>
    <numFmt numFmtId="168" formatCode="#,##0.0"/>
    <numFmt numFmtId="169" formatCode="_-* #,##0.0_-;-* #,##0.0_-;_-* &quot;-&quot;??_-;_-@_-"/>
    <numFmt numFmtId="170" formatCode="_(&quot;$&quot;* #,##0.00_);_(&quot;$&quot;* (#,##0.00);_(&quot;$&quot;* &quot;-&quot;??_);_(@_)"/>
    <numFmt numFmtId="171" formatCode="#,##0.0x"/>
  </numFmts>
  <fonts count="22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4"/>
      <name val="Calibri"/>
    </font>
    <font>
      <u/>
      <color theme="10"/>
      <family val="2"/>
      <sz val="12"/>
      <name val="Calibri"/>
    </font>
    <font>
      <b/>
      <color theme="1" tint="0.249977111117893"/>
      <family val="2"/>
      <sz val="12"/>
      <name val="Calibri"/>
    </font>
    <font>
      <b/>
      <color theme="1"/>
      <family val="2"/>
      <sz val="11"/>
      <name val="Calibri"/>
    </font>
    <font>
      <color theme="1"/>
      <family val="2"/>
      <sz val="12"/>
      <name val="Calibri"/>
    </font>
    <font>
      <color theme="1"/>
      <family val="2"/>
      <scheme val="minor"/>
      <sz val="12"/>
      <name val="Calibri"/>
    </font>
    <font>
      <b/>
      <family val="2"/>
      <sz val="14"/>
      <name val="Calibri"/>
    </font>
    <font>
      <b/>
      <color theme="0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4"/>
      <family val="2"/>
      <scheme val="minor"/>
      <sz val="12"/>
      <name val="Calibri"/>
    </font>
    <font>
      <i/>
      <color theme="1"/>
      <family val="2"/>
      <scheme val="minor"/>
      <sz val="11"/>
      <name val="Calibri"/>
    </font>
    <font>
      <b/>
      <color theme="4"/>
      <family val="2"/>
      <scheme val="minor"/>
      <sz val="12"/>
      <name val="Calibri"/>
    </font>
    <font>
      <b/>
      <u/>
      <color theme="1"/>
      <family val="2"/>
      <scheme val="minor"/>
      <sz val="11"/>
      <name val="Calibri"/>
    </font>
    <font>
      <i/>
      <color theme="1"/>
      <family val="2"/>
      <scheme val="minor"/>
      <sz val="12"/>
      <name val="Calibri"/>
    </font>
    <font>
      <i/>
      <color rgb="FFC00000"/>
      <family val="2"/>
      <scheme val="minor"/>
      <sz val="12"/>
      <name val="Calibri"/>
    </font>
    <font>
      <color theme="0" tint="-0.0499893185216834"/>
      <family val="2"/>
      <scheme val="minor"/>
      <sz val="12"/>
      <name val="Calibri"/>
    </font>
    <font>
      <family val="2"/>
      <scheme val="minor"/>
      <sz val="12"/>
      <name val="Calibri"/>
    </font>
    <font>
      <b/>
      <family val="2"/>
      <scheme val="minor"/>
      <sz val="12"/>
      <name val="Calibri"/>
    </font>
    <font>
      <b/>
      <color rgb="FFC00000"/>
      <family val="2"/>
      <scheme val="minor"/>
      <sz val="12"/>
      <name val="Calibri"/>
    </font>
    <font>
      <b/>
      <i/>
      <color theme="1"/>
      <family val="2"/>
      <scheme val="minor"/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5" fillId="2" borderId="0" xfId="0" applyNumberFormat="1" applyFont="1" applyFill="1"/>
    <xf numFmtId="0" fontId="6" fillId="2" borderId="0" xfId="0" applyFont="1" applyFill="1"/>
    <xf numFmtId="0" fontId="7" fillId="0" borderId="0" xfId="0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9" fillId="3" borderId="0" xfId="0" applyFont="1" applyFill="1"/>
    <xf numFmtId="0" fontId="9" fillId="3" borderId="0" xfId="0" applyFont="1" applyFill="1" applyAlignment="1">
      <alignment horizontal="right"/>
    </xf>
    <xf numFmtId="0" fontId="10" fillId="4" borderId="0" xfId="0" applyFont="1" applyFill="1"/>
    <xf numFmtId="0" fontId="0" fillId="0" borderId="0" xfId="0" applyAlignment="1">
      <alignment horizontal="left" indent="1"/>
    </xf>
    <xf numFmtId="165" fontId="11" fillId="5" borderId="2" xfId="0" applyNumberFormat="1" applyFont="1" applyFill="1" applyBorder="1" applyAlignment="1">
      <alignment horizontal="right"/>
    </xf>
    <xf numFmtId="166" fontId="11" fillId="5" borderId="2" xfId="0" applyNumberFormat="1" applyFont="1" applyFill="1" applyBorder="1" applyAlignment="1">
      <alignment horizontal="right"/>
    </xf>
    <xf numFmtId="167" fontId="7" fillId="0" borderId="2" xfId="0" applyNumberFormat="1" applyFont="1" applyBorder="1" applyAlignment="1">
      <alignment horizontal="right"/>
    </xf>
    <xf numFmtId="167" fontId="11" fillId="5" borderId="2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2" fontId="11" fillId="5" borderId="2" xfId="0" applyNumberFormat="1" applyFont="1" applyFill="1" applyBorder="1" applyAlignment="1">
      <alignment horizontal="right"/>
    </xf>
    <xf numFmtId="0" fontId="10" fillId="0" borderId="3" xfId="0" applyFont="1" applyBorder="1"/>
    <xf numFmtId="167" fontId="10" fillId="0" borderId="4" xfId="0" applyNumberFormat="1" applyFont="1" applyBorder="1" applyAlignment="1">
      <alignment horizontal="right"/>
    </xf>
    <xf numFmtId="9" fontId="11" fillId="5" borderId="2" xfId="0" applyNumberFormat="1" applyFont="1" applyFill="1" applyBorder="1" applyAlignment="1">
      <alignment horizontal="right"/>
    </xf>
    <xf numFmtId="0" fontId="10" fillId="4" borderId="0" xfId="0" applyFont="1" applyFill="1" applyAlignment="1">
      <alignment horizontal="right"/>
    </xf>
    <xf numFmtId="167" fontId="7" fillId="0" borderId="0" xfId="0" applyNumberFormat="1" applyFont="1" applyAlignment="1">
      <alignment horizontal="right"/>
    </xf>
    <xf numFmtId="0" fontId="12" fillId="0" borderId="0" xfId="0" applyFont="1"/>
    <xf numFmtId="0" fontId="7" fillId="0" borderId="0" xfId="0" applyFont="1"/>
    <xf numFmtId="0" fontId="9" fillId="3" borderId="5" xfId="0" applyFont="1" applyFill="1" applyBorder="1" applyAlignment="1">
      <alignment horizontal="right"/>
    </xf>
    <xf numFmtId="0" fontId="13" fillId="5" borderId="6" xfId="0" applyFont="1" applyFill="1" applyBorder="1" applyAlignment="1">
      <alignment horizontal="center"/>
    </xf>
    <xf numFmtId="0" fontId="14" fillId="0" borderId="0" xfId="0" applyFont="1"/>
    <xf numFmtId="0" fontId="10" fillId="5" borderId="2" xfId="0" applyFont="1" applyFill="1" applyBorder="1"/>
    <xf numFmtId="167" fontId="10" fillId="5" borderId="2" xfId="0" applyNumberFormat="1" applyFont="1" applyFill="1" applyBorder="1" applyAlignment="1">
      <alignment horizontal="right"/>
    </xf>
    <xf numFmtId="168" fontId="13" fillId="4" borderId="0" xfId="0" applyNumberFormat="1" applyFont="1" applyFill="1"/>
    <xf numFmtId="168" fontId="13" fillId="4" borderId="5" xfId="0" applyNumberFormat="1" applyFont="1" applyFill="1" applyBorder="1"/>
    <xf numFmtId="168" fontId="10" fillId="4" borderId="0" xfId="0" applyNumberFormat="1" applyFont="1" applyFill="1"/>
    <xf numFmtId="168" fontId="10" fillId="4" borderId="5" xfId="0" applyNumberFormat="1" applyFont="1" applyFill="1" applyBorder="1"/>
    <xf numFmtId="168" fontId="10" fillId="4" borderId="7" xfId="0" applyNumberFormat="1" applyFont="1" applyFill="1" applyBorder="1"/>
    <xf numFmtId="167" fontId="7" fillId="0" borderId="0" xfId="0" applyNumberFormat="1" applyFont="1"/>
    <xf numFmtId="167" fontId="7" fillId="0" borderId="0" xfId="0" applyNumberFormat="1" applyFont="1" applyAlignment="1">
      <alignment horizontal="left" indent="1"/>
    </xf>
    <xf numFmtId="167" fontId="11" fillId="0" borderId="0" xfId="0" applyNumberFormat="1" applyFont="1"/>
    <xf numFmtId="167" fontId="7" fillId="6" borderId="2" xfId="0" applyNumberFormat="1" applyFont="1" applyFill="1" applyBorder="1"/>
    <xf numFmtId="167" fontId="11" fillId="0" borderId="0" xfId="0" applyNumberFormat="1" applyFont="1" applyAlignment="1">
      <alignment horizontal="left" indent="2"/>
    </xf>
    <xf numFmtId="167" fontId="7" fillId="0" borderId="5" xfId="0" applyNumberFormat="1" applyFont="1" applyBorder="1"/>
    <xf numFmtId="167" fontId="11" fillId="5" borderId="2" xfId="0" applyNumberFormat="1" applyFont="1" applyFill="1" applyBorder="1"/>
    <xf numFmtId="167" fontId="15" fillId="0" borderId="0" xfId="0" applyNumberFormat="1" applyFont="1"/>
    <xf numFmtId="167" fontId="15" fillId="0" borderId="0" xfId="0" applyNumberFormat="1" applyFont="1" applyAlignment="1">
      <alignment horizontal="left" indent="1"/>
    </xf>
    <xf numFmtId="167" fontId="15" fillId="0" borderId="5" xfId="0" applyNumberFormat="1" applyFont="1" applyBorder="1"/>
    <xf numFmtId="167" fontId="15" fillId="0" borderId="7" xfId="0" applyNumberFormat="1" applyFont="1" applyBorder="1"/>
    <xf numFmtId="168" fontId="7" fillId="0" borderId="0" xfId="0" applyNumberFormat="1" applyFont="1"/>
    <xf numFmtId="168" fontId="7" fillId="0" borderId="5" xfId="0" applyNumberFormat="1" applyFont="1" applyBorder="1"/>
    <xf numFmtId="168" fontId="7" fillId="0" borderId="7" xfId="0" applyNumberFormat="1" applyFont="1" applyBorder="1"/>
    <xf numFmtId="0" fontId="10" fillId="0" borderId="0" xfId="0" applyFont="1"/>
    <xf numFmtId="168" fontId="10" fillId="0" borderId="0" xfId="0" applyNumberFormat="1" applyFont="1"/>
    <xf numFmtId="168" fontId="10" fillId="0" borderId="5" xfId="0" applyNumberFormat="1" applyFont="1" applyBorder="1"/>
    <xf numFmtId="168" fontId="10" fillId="0" borderId="7" xfId="0" applyNumberFormat="1" applyFont="1" applyBorder="1"/>
    <xf numFmtId="167" fontId="15" fillId="0" borderId="3" xfId="0" applyNumberFormat="1" applyFont="1" applyBorder="1" applyAlignment="1">
      <alignment horizontal="left" indent="1"/>
    </xf>
    <xf numFmtId="167" fontId="7" fillId="0" borderId="3" xfId="0" applyNumberFormat="1" applyFont="1" applyBorder="1"/>
    <xf numFmtId="167" fontId="7" fillId="0" borderId="8" xfId="0" applyNumberFormat="1" applyFont="1" applyBorder="1"/>
    <xf numFmtId="167" fontId="7" fillId="0" borderId="9" xfId="0" applyNumberFormat="1" applyFont="1" applyBorder="1"/>
    <xf numFmtId="168" fontId="11" fillId="0" borderId="0" xfId="0" applyNumberFormat="1" applyFont="1"/>
    <xf numFmtId="168" fontId="11" fillId="0" borderId="5" xfId="0" applyNumberFormat="1" applyFont="1" applyBorder="1"/>
    <xf numFmtId="168" fontId="7" fillId="0" borderId="2" xfId="0" applyNumberFormat="1" applyFont="1" applyBorder="1"/>
    <xf numFmtId="167" fontId="15" fillId="4" borderId="3" xfId="0" applyNumberFormat="1" applyFont="1" applyFill="1" applyBorder="1" applyAlignment="1">
      <alignment horizontal="left" indent="1"/>
    </xf>
    <xf numFmtId="167" fontId="15" fillId="4" borderId="3" xfId="0" applyNumberFormat="1" applyFont="1" applyFill="1" applyBorder="1"/>
    <xf numFmtId="167" fontId="15" fillId="4" borderId="8" xfId="0" applyNumberFormat="1" applyFont="1" applyFill="1" applyBorder="1"/>
    <xf numFmtId="167" fontId="15" fillId="4" borderId="9" xfId="0" applyNumberFormat="1" applyFont="1" applyFill="1" applyBorder="1"/>
    <xf numFmtId="4" fontId="7" fillId="0" borderId="0" xfId="0" applyNumberFormat="1" applyFont="1"/>
    <xf numFmtId="4" fontId="7" fillId="0" borderId="5" xfId="0" applyNumberFormat="1" applyFont="1" applyBorder="1"/>
    <xf numFmtId="4" fontId="7" fillId="0" borderId="7" xfId="0" applyNumberFormat="1" applyFont="1" applyBorder="1"/>
    <xf numFmtId="0" fontId="6" fillId="0" borderId="0" xfId="0" applyFont="1"/>
    <xf numFmtId="9" fontId="11" fillId="5" borderId="2" xfId="0" applyNumberFormat="1" applyFont="1" applyFill="1" applyBorder="1"/>
    <xf numFmtId="4" fontId="11" fillId="5" borderId="2" xfId="0" applyNumberFormat="1" applyFont="1" applyFill="1" applyBorder="1"/>
    <xf numFmtId="4" fontId="7" fillId="0" borderId="2" xfId="0" applyNumberFormat="1" applyFont="1" applyBorder="1"/>
    <xf numFmtId="0" fontId="16" fillId="0" borderId="0" xfId="0" applyFont="1"/>
    <xf numFmtId="0" fontId="15" fillId="0" borderId="10" xfId="0" applyFont="1" applyBorder="1" applyAlignment="1">
      <alignment horizontal="left" indent="1"/>
    </xf>
    <xf numFmtId="167" fontId="7" fillId="0" borderId="2" xfId="0" applyNumberFormat="1" applyFont="1" applyBorder="1"/>
    <xf numFmtId="169" fontId="7" fillId="0" borderId="2" xfId="0" applyNumberFormat="1" applyFont="1" applyBorder="1" applyAlignment="1">
      <alignment horizontal="right"/>
    </xf>
    <xf numFmtId="0" fontId="7" fillId="4" borderId="11" xfId="0" applyFont="1" applyFill="1" applyBorder="1"/>
    <xf numFmtId="0" fontId="7" fillId="4" borderId="12" xfId="0" applyFont="1" applyFill="1" applyBorder="1"/>
    <xf numFmtId="0" fontId="10" fillId="4" borderId="12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Continuous"/>
    </xf>
    <xf numFmtId="0" fontId="7" fillId="4" borderId="7" xfId="0" applyFont="1" applyFill="1" applyBorder="1"/>
    <xf numFmtId="170" fontId="17" fillId="2" borderId="0" xfId="0" applyNumberFormat="1" applyFont="1" applyFill="1"/>
    <xf numFmtId="0" fontId="7" fillId="2" borderId="12" xfId="0" applyFont="1" applyFill="1" applyBorder="1"/>
    <xf numFmtId="10" fontId="7" fillId="2" borderId="12" xfId="0" applyNumberFormat="1" applyFont="1" applyFill="1" applyBorder="1"/>
    <xf numFmtId="10" fontId="10" fillId="2" borderId="12" xfId="0" applyNumberFormat="1" applyFont="1" applyFill="1" applyBorder="1"/>
    <xf numFmtId="169" fontId="7" fillId="2" borderId="12" xfId="0" applyNumberFormat="1" applyFont="1" applyFill="1" applyBorder="1" applyAlignment="1">
      <alignment horizontal="right"/>
    </xf>
    <xf numFmtId="0" fontId="10" fillId="4" borderId="7" xfId="0" applyFont="1" applyFill="1" applyBorder="1" applyAlignment="1">
      <alignment vertical="center" wrapText="1"/>
    </xf>
    <xf numFmtId="0" fontId="7" fillId="2" borderId="7" xfId="0" applyFont="1" applyFill="1" applyBorder="1"/>
    <xf numFmtId="169" fontId="17" fillId="2" borderId="0" xfId="0" applyNumberFormat="1" applyFont="1" applyFill="1"/>
    <xf numFmtId="10" fontId="18" fillId="2" borderId="12" xfId="0" applyNumberFormat="1" applyFont="1" applyFill="1" applyBorder="1"/>
    <xf numFmtId="10" fontId="19" fillId="2" borderId="12" xfId="0" applyNumberFormat="1" applyFont="1" applyFill="1" applyBorder="1"/>
    <xf numFmtId="169" fontId="18" fillId="2" borderId="12" xfId="0" applyNumberFormat="1" applyFont="1" applyFill="1" applyBorder="1" applyAlignment="1">
      <alignment horizontal="right"/>
    </xf>
    <xf numFmtId="0" fontId="10" fillId="0" borderId="12" xfId="0" applyFont="1" applyBorder="1"/>
    <xf numFmtId="169" fontId="10" fillId="0" borderId="2" xfId="0" applyNumberFormat="1" applyFont="1" applyBorder="1" applyAlignment="1">
      <alignment horizontal="right"/>
    </xf>
    <xf numFmtId="0" fontId="7" fillId="4" borderId="7" xfId="0" applyFont="1" applyFill="1" applyBorder="1" applyAlignment="1">
      <alignment vertical="center" wrapText="1"/>
    </xf>
    <xf numFmtId="167" fontId="7" fillId="2" borderId="5" xfId="0" applyNumberFormat="1" applyFont="1" applyFill="1" applyBorder="1" applyAlignment="1">
      <alignment horizontal="center"/>
    </xf>
    <xf numFmtId="167" fontId="7" fillId="2" borderId="7" xfId="0" applyNumberFormat="1" applyFont="1" applyFill="1" applyBorder="1"/>
    <xf numFmtId="169" fontId="7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0" fontId="10" fillId="4" borderId="7" xfId="0" applyFont="1" applyFill="1" applyBorder="1" applyAlignment="1">
      <alignment horizontal="center" vertical="center" wrapText="1"/>
    </xf>
    <xf numFmtId="167" fontId="10" fillId="2" borderId="5" xfId="0" applyNumberFormat="1" applyFont="1" applyFill="1" applyBorder="1" applyAlignment="1">
      <alignment horizontal="center"/>
    </xf>
    <xf numFmtId="167" fontId="10" fillId="2" borderId="7" xfId="0" applyNumberFormat="1" applyFont="1" applyFill="1" applyBorder="1"/>
    <xf numFmtId="169" fontId="2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right"/>
    </xf>
    <xf numFmtId="0" fontId="7" fillId="4" borderId="13" xfId="0" applyFont="1" applyFill="1" applyBorder="1" applyAlignment="1">
      <alignment vertical="center" wrapText="1"/>
    </xf>
    <xf numFmtId="167" fontId="7" fillId="2" borderId="13" xfId="0" applyNumberFormat="1" applyFont="1" applyFill="1" applyBorder="1" applyAlignment="1">
      <alignment horizontal="center"/>
    </xf>
    <xf numFmtId="167" fontId="7" fillId="2" borderId="13" xfId="0" applyNumberFormat="1" applyFont="1" applyFill="1" applyBorder="1"/>
    <xf numFmtId="0" fontId="10" fillId="4" borderId="12" xfId="0" applyFont="1" applyFill="1" applyBorder="1" applyAlignment="1">
      <alignment horizontal="right"/>
    </xf>
    <xf numFmtId="0" fontId="21" fillId="0" borderId="2" xfId="0" applyFont="1" applyBorder="1"/>
    <xf numFmtId="167" fontId="10" fillId="0" borderId="2" xfId="0" applyNumberFormat="1" applyFont="1" applyBorder="1" applyAlignment="1">
      <alignment horizontal="right"/>
    </xf>
    <xf numFmtId="167" fontId="10" fillId="0" borderId="0" xfId="0" applyNumberFormat="1" applyFont="1" applyAlignment="1">
      <alignment horizontal="right"/>
    </xf>
    <xf numFmtId="167" fontId="20" fillId="0" borderId="0" xfId="0" applyNumberFormat="1" applyFont="1" applyAlignment="1">
      <alignment horizontal="right"/>
    </xf>
    <xf numFmtId="0" fontId="7" fillId="0" borderId="3" xfId="0" applyFont="1" applyBorder="1"/>
    <xf numFmtId="168" fontId="7" fillId="0" borderId="3" xfId="0" applyNumberFormat="1" applyFont="1" applyBorder="1"/>
    <xf numFmtId="167" fontId="15" fillId="4" borderId="0" xfId="0" applyNumberFormat="1" applyFont="1" applyFill="1" applyAlignment="1">
      <alignment horizontal="left" indent="1"/>
    </xf>
    <xf numFmtId="167" fontId="15" fillId="4" borderId="0" xfId="0" applyNumberFormat="1" applyFont="1" applyFill="1"/>
    <xf numFmtId="0" fontId="15" fillId="0" borderId="0" xfId="0" applyFont="1"/>
    <xf numFmtId="0" fontId="15" fillId="0" borderId="0" xfId="0" applyFont="1" applyAlignment="1">
      <alignment horizontal="left" indent="1"/>
    </xf>
    <xf numFmtId="168" fontId="15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3" xfId="0" applyFont="1" applyBorder="1" applyAlignment="1">
      <alignment horizontal="left" indent="1"/>
    </xf>
    <xf numFmtId="167" fontId="15" fillId="0" borderId="3" xfId="0" applyNumberFormat="1" applyFont="1" applyBorder="1"/>
    <xf numFmtId="4" fontId="7" fillId="0" borderId="3" xfId="0" applyNumberFormat="1" applyFont="1" applyBorder="1"/>
    <xf numFmtId="4" fontId="10" fillId="4" borderId="0" xfId="0" applyNumberFormat="1" applyFont="1" applyFill="1" applyAlignment="1">
      <alignment horizontal="right"/>
    </xf>
    <xf numFmtId="0" fontId="10" fillId="7" borderId="0" xfId="0" applyFont="1" applyFill="1"/>
    <xf numFmtId="168" fontId="10" fillId="7" borderId="0" xfId="0" applyNumberFormat="1" applyFont="1" applyFill="1" applyAlignment="1">
      <alignment horizontal="right"/>
    </xf>
    <xf numFmtId="0" fontId="15" fillId="7" borderId="0" xfId="0" applyFont="1" applyFill="1" applyAlignment="1">
      <alignment horizontal="left" indent="1"/>
    </xf>
    <xf numFmtId="167" fontId="15" fillId="7" borderId="0" xfId="0" applyNumberFormat="1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168" fontId="7" fillId="0" borderId="3" xfId="0" applyNumberFormat="1" applyFont="1" applyBorder="1" applyAlignment="1">
      <alignment horizontal="right"/>
    </xf>
    <xf numFmtId="168" fontId="10" fillId="4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10" fontId="15" fillId="0" borderId="0" xfId="0" applyNumberFormat="1" applyFont="1"/>
    <xf numFmtId="0" fontId="15" fillId="4" borderId="3" xfId="0" applyFont="1" applyFill="1" applyBorder="1" applyAlignment="1">
      <alignment horizontal="left" indent="1"/>
    </xf>
    <xf numFmtId="167" fontId="15" fillId="4" borderId="3" xfId="0" applyNumberFormat="1" applyFont="1" applyFill="1" applyBorder="1" applyAlignment="1">
      <alignment horizontal="right"/>
    </xf>
    <xf numFmtId="0" fontId="10" fillId="2" borderId="0" xfId="0" applyFont="1" applyFill="1"/>
    <xf numFmtId="4" fontId="10" fillId="2" borderId="0" xfId="0" applyNumberFormat="1" applyFont="1" applyFill="1" applyAlignment="1">
      <alignment horizontal="right"/>
    </xf>
    <xf numFmtId="171" fontId="7" fillId="0" borderId="0" xfId="0" applyNumberFormat="1" applyFont="1" applyAlignment="1">
      <alignment horizontal="right"/>
    </xf>
    <xf numFmtId="0" fontId="7" fillId="0" borderId="10" xfId="0" applyFont="1" applyBorder="1"/>
    <xf numFmtId="171" fontId="7" fillId="0" borderId="10" xfId="0" applyNumberFormat="1" applyFont="1" applyBorder="1" applyAlignment="1">
      <alignment horizontal="right"/>
    </xf>
    <xf numFmtId="171" fontId="7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12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5.xml"/><Relationship Id="rId12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hyperlink" Target="#&apos;Key DCF Assumptions&apos;!A1" TargetMode="External"/><Relationship Id="rId5" Type="http://schemas.openxmlformats.org/officeDocument/2006/relationships/hyperlink" Target="#&apos;WACC &amp; Cost of Equity&apos;!A1" TargetMode="External"/><Relationship Id="rId6" Type="http://schemas.openxmlformats.org/officeDocument/2006/relationships/hyperlink" Target="#&apos;DCF Model &amp; Sensitivity&apos;!A1" TargetMode="External"/><Relationship Id="rId7" Type="http://schemas.openxmlformats.org/officeDocument/2006/relationships/hyperlink" Target="#&apos;KPI Data&apos;!A1" TargetMode="External"/><Relationship Id="rId8" Type="http://schemas.openxmlformats.org/officeDocument/2006/relationships/hyperlink" Target="#&apos;Income Statement&apos;!A1" TargetMode="External"/><Relationship Id="rId9" Type="http://schemas.openxmlformats.org/officeDocument/2006/relationships/hyperlink" Target="#&apos;Balance Sheet&apos;!A1" TargetMode="External"/><Relationship Id="rId10" Type="http://schemas.openxmlformats.org/officeDocument/2006/relationships/hyperlink" Target="#&apos;Cash Flow Statement&apos;!A1" TargetMode="External"/><Relationship Id="rId11" Type="http://schemas.openxmlformats.org/officeDocument/2006/relationships/hyperlink" Target="#Valuation!A1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hyperlink" Target="#Summary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248578</xdr:colOff>
      <xdr:row>0</xdr:row>
      <xdr:rowOff>127282</xdr:rowOff>
    </xdr:from>
    <xdr:to>
      <xdr:col>5</xdr:col>
      <xdr:colOff>203785</xdr:colOff>
      <xdr:row>4</xdr:row>
      <xdr:rowOff>3953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151191</xdr:colOff>
      <xdr:row>6</xdr:row>
      <xdr:rowOff>75595</xdr:rowOff>
    </xdr:from>
    <xdr:to>
      <xdr:col>20</xdr:col>
      <xdr:colOff>0</xdr:colOff>
      <xdr:row>30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9</xdr:row>
      <xdr:rowOff>94574</xdr:rowOff>
    </xdr:from>
    <xdr:to>
      <xdr:col>3</xdr:col>
      <xdr:colOff>428765</xdr:colOff>
      <xdr:row>11</xdr:row>
      <xdr:rowOff>100114</xdr:rowOff>
    </xdr:to>
    <xdr:pic>
      <xdr:nvPicPr>
        <xdr:cNvPr id="3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172937</xdr:colOff>
      <xdr:row>11</xdr:row>
      <xdr:rowOff>98357</xdr:rowOff>
    </xdr:from>
    <xdr:to>
      <xdr:col>3</xdr:col>
      <xdr:colOff>601701</xdr:colOff>
      <xdr:row>13</xdr:row>
      <xdr:rowOff>103897</xdr:rowOff>
    </xdr:to>
    <xdr:pic>
      <xdr:nvPicPr>
        <xdr:cNvPr id="4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305233</xdr:colOff>
      <xdr:row>13</xdr:row>
      <xdr:rowOff>122460</xdr:rowOff>
    </xdr:from>
    <xdr:to>
      <xdr:col>4</xdr:col>
      <xdr:colOff>32957</xdr:colOff>
      <xdr:row>15</xdr:row>
      <xdr:rowOff>127999</xdr:rowOff>
    </xdr:to>
    <xdr:pic>
      <xdr:nvPicPr>
        <xdr:cNvPr id="5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646349</xdr:colOff>
      <xdr:row>15</xdr:row>
      <xdr:rowOff>105922</xdr:rowOff>
    </xdr:from>
    <xdr:to>
      <xdr:col>2</xdr:col>
      <xdr:colOff>372560</xdr:colOff>
      <xdr:row>17</xdr:row>
      <xdr:rowOff>111462</xdr:rowOff>
    </xdr:to>
    <xdr:pic>
      <xdr:nvPicPr>
        <xdr:cNvPr id="6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542047</xdr:colOff>
      <xdr:row>17</xdr:row>
      <xdr:rowOff>109705</xdr:rowOff>
    </xdr:from>
    <xdr:to>
      <xdr:col>3</xdr:col>
      <xdr:colOff>268258</xdr:colOff>
      <xdr:row>19</xdr:row>
      <xdr:rowOff>115245</xdr:rowOff>
    </xdr:to>
    <xdr:pic>
      <xdr:nvPicPr>
        <xdr:cNvPr id="7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285075</xdr:colOff>
      <xdr:row>19</xdr:row>
      <xdr:rowOff>111867</xdr:rowOff>
    </xdr:from>
    <xdr:to>
      <xdr:col>3</xdr:col>
      <xdr:colOff>15339</xdr:colOff>
      <xdr:row>21</xdr:row>
      <xdr:rowOff>117407</xdr:rowOff>
    </xdr:to>
    <xdr:pic>
      <xdr:nvPicPr>
        <xdr:cNvPr id="8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24319</xdr:colOff>
      <xdr:row>21</xdr:row>
      <xdr:rowOff>117272</xdr:rowOff>
    </xdr:from>
    <xdr:to>
      <xdr:col>3</xdr:col>
      <xdr:colOff>449030</xdr:colOff>
      <xdr:row>23</xdr:row>
      <xdr:rowOff>122812</xdr:rowOff>
    </xdr:to>
    <xdr:pic>
      <xdr:nvPicPr>
        <xdr:cNvPr id="9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16213</xdr:colOff>
      <xdr:row>23</xdr:row>
      <xdr:rowOff>120244</xdr:rowOff>
    </xdr:from>
    <xdr:to>
      <xdr:col>2</xdr:col>
      <xdr:colOff>440924</xdr:colOff>
      <xdr:row>25</xdr:row>
      <xdr:rowOff>125784</xdr:rowOff>
    </xdr:to>
    <xdr:pic>
      <xdr:nvPicPr>
        <xdr:cNvPr id="10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9578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3248907</xdr:colOff>
      <xdr:row>0</xdr:row>
      <xdr:rowOff>255630</xdr:rowOff>
    </xdr:from>
    <xdr:to>
      <xdr:col>0</xdr:col>
      <xdr:colOff>3677671</xdr:colOff>
      <xdr:row>1</xdr:row>
      <xdr:rowOff>23539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381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3343054</xdr:colOff>
      <xdr:row>0</xdr:row>
      <xdr:rowOff>236573</xdr:rowOff>
    </xdr:from>
    <xdr:to>
      <xdr:col>0</xdr:col>
      <xdr:colOff>3771818</xdr:colOff>
      <xdr:row>1</xdr:row>
      <xdr:rowOff>3965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9578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81559</xdr:colOff>
      <xdr:row>0</xdr:row>
      <xdr:rowOff>209726</xdr:rowOff>
    </xdr:from>
    <xdr:to>
      <xdr:col>1</xdr:col>
      <xdr:colOff>510323</xdr:colOff>
      <xdr:row>0</xdr:row>
      <xdr:rowOff>620286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116781</xdr:colOff>
      <xdr:row>0</xdr:row>
      <xdr:rowOff>145977</xdr:rowOff>
    </xdr:from>
    <xdr:to>
      <xdr:col>1</xdr:col>
      <xdr:colOff>545545</xdr:colOff>
      <xdr:row>0</xdr:row>
      <xdr:rowOff>556537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145977</xdr:colOff>
      <xdr:row>0</xdr:row>
      <xdr:rowOff>145977</xdr:rowOff>
    </xdr:from>
    <xdr:to>
      <xdr:col>1</xdr:col>
      <xdr:colOff>574741</xdr:colOff>
      <xdr:row>0</xdr:row>
      <xdr:rowOff>556537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3026835</xdr:colOff>
      <xdr:row>1</xdr:row>
      <xdr:rowOff>14979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87587</xdr:colOff>
      <xdr:row>0</xdr:row>
      <xdr:rowOff>131380</xdr:rowOff>
    </xdr:from>
    <xdr:to>
      <xdr:col>1</xdr:col>
      <xdr:colOff>516351</xdr:colOff>
      <xdr:row>0</xdr:row>
      <xdr:rowOff>541940</xdr:rowOff>
    </xdr:to>
    <xdr:pic>
      <xdr:nvPicPr>
        <xdr:cNvPr id="2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valuesense.io/ticker/msft/cash" TargetMode="External"/><Relationship Id="rId2" Type="http://schemas.openxmlformats.org/officeDocument/2006/relationships/hyperlink" Target="https://valuesense.io/ticker/msft/total-equity" TargetMode="External"/><Relationship Id="rId3" Type="http://schemas.openxmlformats.org/officeDocument/2006/relationships/hyperlink" Target="https://valuesense.io/ticker/msft/intrinsic-value-tools/dcf-calculator" TargetMode="External"/><Relationship Id="rId4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T44"/>
  <sheetViews>
    <sheetView workbookViewId="0" showGridLines="0" zoomScale="86" zoomScaleNormal="116"/>
  </sheetViews>
  <sheetFormatPr defaultRowHeight="0" outlineLevelRow="0" outlineLevelCol="0" x14ac:dyDescent="0.2" customHeight="1"/>
  <cols>
    <col min="1" max="1" width="3.83203125" style="1" customWidth="1"/>
    <col min="2" max="18" width="9.1640625" style="1" customWidth="1"/>
    <col min="19" max="19" width="10" style="1" customWidth="1"/>
    <col min="20" max="20" width="9.1640625" style="1" customWidth="1"/>
    <col min="21" max="21" width="9.1640625" style="1" hidden="1" customWidth="1"/>
    <col min="22" max="28" style="1" hidden="1" customWidth="1"/>
    <col min="29" max="16384" width="9.1640625" style="1" hidden="1" customWidth="1"/>
  </cols>
  <sheetData>
    <row r="1" ht="15" customHeight="1" x14ac:dyDescent="0.25"/>
    <row r="2" ht="15" customHeight="1" x14ac:dyDescent="0.25"/>
    <row r="3" ht="15" customHeight="1" x14ac:dyDescent="0.25"/>
    <row r="4" ht="16" customHeight="1" spans="2:20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6" customHeight="1" x14ac:dyDescent="0.25"/>
    <row r="6" ht="19" customHeight="1" spans="2:2" x14ac:dyDescent="0.25">
      <c r="B6" s="3" t="s">
        <v>0</v>
      </c>
    </row>
    <row r="7" ht="16" customHeight="1" spans="2:2" x14ac:dyDescent="0.25">
      <c r="B7" s="4" t="s">
        <v>1</v>
      </c>
    </row>
    <row r="8" ht="16" customHeight="1" spans="2:5" x14ac:dyDescent="0.25">
      <c r="B8" s="5" t="s">
        <v>2</v>
      </c>
      <c r="E8" s="6">
        <v>46111.448804479165</v>
      </c>
    </row>
    <row r="9" ht="16" customHeight="1" spans="2:20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6" customHeight="1" x14ac:dyDescent="0.25"/>
    <row r="11" ht="16" customHeight="1" spans="2:5" x14ac:dyDescent="0.25">
      <c r="B11" s="7" t="s">
        <v>3</v>
      </c>
      <c r="E11" s="7"/>
    </row>
    <row r="12" ht="16" customHeight="1" x14ac:dyDescent="0.25"/>
    <row r="13" ht="16" customHeight="1" spans="2:2" x14ac:dyDescent="0.25">
      <c r="B13" s="7" t="s">
        <v>4</v>
      </c>
    </row>
    <row r="14" ht="16" customHeight="1" x14ac:dyDescent="0.25"/>
    <row r="15" ht="16" customHeight="1" spans="2:2" x14ac:dyDescent="0.25">
      <c r="B15" s="7" t="s">
        <v>5</v>
      </c>
    </row>
    <row r="16" ht="16" customHeight="1" x14ac:dyDescent="0.25"/>
    <row r="17" ht="16" customHeight="1" spans="2:2" x14ac:dyDescent="0.25">
      <c r="B17" s="7" t="s">
        <v>6</v>
      </c>
    </row>
    <row r="18" ht="16" customHeight="1" x14ac:dyDescent="0.25"/>
    <row r="19" ht="16" customHeight="1" spans="2:2" x14ac:dyDescent="0.25">
      <c r="B19" s="7" t="s">
        <v>7</v>
      </c>
    </row>
    <row r="20" ht="16" customHeight="1" x14ac:dyDescent="0.25"/>
    <row r="21" ht="16" customHeight="1" spans="2:2" x14ac:dyDescent="0.25">
      <c r="B21" s="7" t="s">
        <v>8</v>
      </c>
    </row>
    <row r="22" ht="16" customHeight="1" x14ac:dyDescent="0.25"/>
    <row r="23" ht="16" customHeight="1" spans="2:2" x14ac:dyDescent="0.25">
      <c r="B23" s="7" t="s">
        <v>9</v>
      </c>
    </row>
    <row r="24" ht="16" customHeight="1" x14ac:dyDescent="0.25"/>
    <row r="25" ht="16" customHeight="1" spans="2:2" x14ac:dyDescent="0.25">
      <c r="B25" s="7" t="s">
        <v>10</v>
      </c>
    </row>
    <row r="26" ht="16" customHeight="1" spans="2:2" x14ac:dyDescent="0.25">
      <c r="B26" s="7"/>
    </row>
    <row r="27" ht="16" customHeight="1" spans="2:2" x14ac:dyDescent="0.25">
      <c r="B27" s="7"/>
    </row>
    <row r="28" ht="16" customHeight="1" spans="2:2" x14ac:dyDescent="0.25">
      <c r="B28" s="7"/>
    </row>
    <row r="29" ht="16" customHeight="1" spans="2:2" x14ac:dyDescent="0.25">
      <c r="B29" s="7"/>
    </row>
    <row r="30" ht="15" customHeight="1" x14ac:dyDescent="0.25"/>
    <row r="31" ht="15" customHeight="1" hidden="1" x14ac:dyDescent="0.25"/>
    <row r="32" ht="15" customHeight="1" hidden="1" x14ac:dyDescent="0.25"/>
    <row r="33" ht="15" customHeight="1" hidden="1" x14ac:dyDescent="0.25"/>
    <row r="34" ht="15" customHeight="1" hidden="1" x14ac:dyDescent="0.25"/>
    <row r="35" ht="15" customHeight="1" hidden="1" x14ac:dyDescent="0.25"/>
    <row r="36" ht="15" customHeight="1" hidden="1" x14ac:dyDescent="0.25"/>
    <row r="37" ht="15" customHeight="1" hidden="1" x14ac:dyDescent="0.25"/>
    <row r="38" ht="14" customHeight="1" hidden="1" x14ac:dyDescent="0.25"/>
    <row r="44" ht="15" customHeight="1" hidden="1" x14ac:dyDescent="0.25"/>
  </sheetData>
  <pageMargins left="0.511811024" right="0.511811024" top="0.787401575" bottom="0.787401575" header="0.31496062" footer="0.31496062"/>
  <pageSetup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showGridLines="0" zoomScale="75" zoomScaleNormal="100">
      <pane xSplit="1" ySplit="5" topLeftCell="B6" activePane="bottomRight" state="frozen"/>
      <selection pane="bottomRight" activeCell="B25" sqref="B25"/>
    </sheetView>
  </sheetViews>
  <sheetFormatPr defaultRowHeight="16" outlineLevelRow="0" outlineLevelCol="0" x14ac:dyDescent="0.2" defaultColWidth="8.83203125" customHeight="1"/>
  <cols>
    <col min="1" max="1" width="78.1640625" customWidth="1"/>
    <col min="2" max="2" width="13.6640625" style="8" customWidth="1"/>
    <col min="3" max="16384" width="8.83203125" customWidth="1"/>
  </cols>
  <sheetData>
    <row r="1" ht="51" customHeight="1" x14ac:dyDescent="0.25"/>
    <row r="3" ht="20" customHeight="1" spans="1:2" s="9" customFormat="1" x14ac:dyDescent="0.25">
      <c r="A3" s="10" t="s">
        <v>28</v>
      </c>
      <c r="B3" s="10"/>
    </row>
    <row r="4" ht="17" customHeight="1" x14ac:dyDescent="0.25"/>
    <row r="5" ht="19" customHeight="1" spans="1:2" x14ac:dyDescent="0.25">
      <c r="A5" s="11" t="s">
        <v>12</v>
      </c>
      <c r="B5" s="12"/>
    </row>
    <row r="6" ht="19" customHeight="1" spans="1:2" x14ac:dyDescent="0.25">
      <c r="A6" s="13" t="s">
        <v>29</v>
      </c>
      <c r="B6" s="13" t="s">
        <v>14</v>
      </c>
    </row>
    <row r="7" ht="20" customHeight="1" spans="1:2" x14ac:dyDescent="0.25">
      <c r="A7" t="s">
        <v>30</v>
      </c>
      <c r="B7" s="18">
        <v>0.0434</v>
      </c>
    </row>
    <row r="8" ht="19" customHeight="1" spans="1:2" x14ac:dyDescent="0.25">
      <c r="A8" t="s">
        <v>31</v>
      </c>
      <c r="B8" s="20">
        <v>1.5</v>
      </c>
    </row>
    <row r="9" ht="19" customHeight="1" spans="1:2" x14ac:dyDescent="0.25">
      <c r="A9" t="s">
        <v>32</v>
      </c>
      <c r="B9" s="18">
        <v>0.046</v>
      </c>
    </row>
    <row r="10" ht="19" customHeight="1" spans="1:2" x14ac:dyDescent="0.25">
      <c r="A10" t="s">
        <v>33</v>
      </c>
      <c r="B10" s="18">
        <v>0</v>
      </c>
    </row>
    <row r="11" ht="17" customHeight="1" spans="1:2" x14ac:dyDescent="0.25">
      <c r="A11" s="21" t="s">
        <v>29</v>
      </c>
      <c r="B11" s="22">
        <f>+B7+B8*B9+B10</f>
        <v>0.11399999999999999</v>
      </c>
    </row>
    <row r="12" ht="15" customHeight="1" spans="1:2" x14ac:dyDescent="0.25">
      <c r="A12" t="s">
        <v>14</v>
      </c>
      <c r="B12" s="19" t="s">
        <v>14</v>
      </c>
    </row>
    <row r="13" ht="19" customHeight="1" spans="1:2" x14ac:dyDescent="0.25">
      <c r="A13" s="13" t="s">
        <v>34</v>
      </c>
      <c r="B13" s="13" t="s">
        <v>14</v>
      </c>
    </row>
    <row r="14" ht="20" customHeight="1" spans="1:2" x14ac:dyDescent="0.25">
      <c r="A14" t="s">
        <v>35</v>
      </c>
      <c r="B14" s="18">
        <v>0.04270966566917239</v>
      </c>
    </row>
    <row r="15" ht="19" customHeight="1" spans="1:2" x14ac:dyDescent="0.25">
      <c r="A15" t="s">
        <v>36</v>
      </c>
      <c r="B15" s="23">
        <v>0.2051560581823593</v>
      </c>
    </row>
    <row r="16" ht="17" customHeight="1" spans="1:2" x14ac:dyDescent="0.25">
      <c r="A16" s="21" t="s">
        <v>29</v>
      </c>
      <c r="B16" s="22">
        <f>+B14*(1-B15)</f>
        <v>0.04000000000000001</v>
      </c>
    </row>
    <row r="17" ht="15" customHeight="1" spans="2:2" x14ac:dyDescent="0.25">
      <c r="B17" s="19"/>
    </row>
    <row r="18" ht="15" customHeight="1" spans="2:2" x14ac:dyDescent="0.25">
      <c r="B18" s="19"/>
    </row>
    <row r="19" ht="15" customHeight="1" spans="2:2" x14ac:dyDescent="0.25">
      <c r="B19" s="19"/>
    </row>
    <row r="20" spans="1:2" x14ac:dyDescent="0.25">
      <c r="A20" s="13" t="s">
        <v>23</v>
      </c>
      <c r="B20" s="24" t="s">
        <v>14</v>
      </c>
    </row>
    <row r="21" spans="1:2" x14ac:dyDescent="0.25">
      <c r="A21" t="s">
        <v>29</v>
      </c>
      <c r="B21" s="25">
        <f>+B11</f>
        <v>0.11399999999999999</v>
      </c>
    </row>
    <row r="22" spans="1:2" x14ac:dyDescent="0.25">
      <c r="A22" s="26" t="s">
        <v>37</v>
      </c>
      <c r="B22" s="18">
        <v>0.41929916292590746</v>
      </c>
    </row>
    <row r="23" spans="1:2" x14ac:dyDescent="0.25">
      <c r="A23" t="s">
        <v>38</v>
      </c>
      <c r="B23" s="25">
        <f>+B16</f>
        <v>0.04000000000000001</v>
      </c>
    </row>
    <row r="24" spans="1:2" x14ac:dyDescent="0.25">
      <c r="A24" s="26" t="s">
        <v>37</v>
      </c>
      <c r="B24" s="18">
        <v>0.5807008370740925</v>
      </c>
    </row>
    <row r="25" ht="17" customHeight="1" spans="1:2" x14ac:dyDescent="0.25">
      <c r="A25" s="21" t="s">
        <v>23</v>
      </c>
      <c r="B25" s="22">
        <f>+B21*B22+B23*B24</f>
        <v>0.09920000000000001</v>
      </c>
    </row>
    <row r="26" ht="15" customHeight="1" spans="1:2" x14ac:dyDescent="0.25">
      <c r="A26" t="s">
        <v>14</v>
      </c>
      <c r="B26" s="19" t="s">
        <v>14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6"/>
  <sheetViews>
    <sheetView workbookViewId="0" showGridLines="0" zoomScale="93" zoomScaleNormal="90">
      <pane xSplit="1" ySplit="15" topLeftCell="B16" activePane="bottomRight" state="frozen"/>
      <selection pane="bottomRight" activeCell="D19" sqref="D19"/>
    </sheetView>
  </sheetViews>
  <sheetFormatPr defaultRowHeight="16" outlineLevelRow="0" outlineLevelCol="0" x14ac:dyDescent="0.2" defaultColWidth="8.83203125" customHeight="1"/>
  <cols>
    <col min="1" max="1" width="65.33203125" style="27" customWidth="1"/>
    <col min="2" max="2" width="13.5" style="8" customWidth="1"/>
    <col min="3" max="20" width="13.5" style="27" customWidth="1"/>
    <col min="21" max="16384" width="8.83203125" style="27" customWidth="1"/>
  </cols>
  <sheetData>
    <row r="1" ht="51" customHeight="1" spans="2:2" x14ac:dyDescent="0.25">
      <c r="B1" s="8"/>
    </row>
    <row r="2" ht="16" customHeight="1" spans="2:2" x14ac:dyDescent="0.25">
      <c r="B2" s="8"/>
    </row>
    <row r="3" ht="20" customHeight="1" spans="1:17" x14ac:dyDescent="0.25">
      <c r="A3" s="10" t="s">
        <v>39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spans="2:2" x14ac:dyDescent="0.25">
      <c r="B4" s="8"/>
    </row>
    <row r="5" ht="20" customHeight="1" spans="1:17" x14ac:dyDescent="0.25">
      <c r="A5" s="11" t="s">
        <v>40</v>
      </c>
      <c r="B5" s="12"/>
      <c r="C5" s="12"/>
      <c r="D5" s="12"/>
      <c r="E5" s="12"/>
      <c r="F5" s="28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ht="17" customHeight="1" spans="2:2" x14ac:dyDescent="0.25">
      <c r="B6" s="8"/>
    </row>
    <row r="7" ht="17" customHeight="1" spans="1:2" x14ac:dyDescent="0.25">
      <c r="A7" t="s">
        <v>41</v>
      </c>
      <c r="B7" s="29">
        <v>2</v>
      </c>
    </row>
    <row r="8" ht="17" customHeight="1" spans="2:4" x14ac:dyDescent="0.25">
      <c r="B8" s="8"/>
      <c r="D8" s="30" t="s">
        <v>42</v>
      </c>
    </row>
    <row r="9" ht="17" customHeight="1" spans="1:6" x14ac:dyDescent="0.25">
      <c r="A9" t="s">
        <v>23</v>
      </c>
      <c r="B9" s="17">
        <f>+'Key DCF Assumptions'!B28+'DCF Model &amp; Sensitivity'!F9</f>
        <v>0.09920000000000001</v>
      </c>
      <c r="D9" t="s">
        <v>23</v>
      </c>
      <c r="F9" s="16">
        <v>0</v>
      </c>
    </row>
    <row r="10" ht="17" customHeight="1" spans="1:6" x14ac:dyDescent="0.25">
      <c r="A10" t="s">
        <v>24</v>
      </c>
      <c r="B10" s="17">
        <f>+'Key DCF Assumptions'!B29</f>
        <v>0.04</v>
      </c>
      <c r="D10" t="s">
        <v>24</v>
      </c>
      <c r="F10" s="16">
        <v>0</v>
      </c>
    </row>
    <row r="11" ht="17" customHeight="1" spans="2:2" x14ac:dyDescent="0.25">
      <c r="B11" s="8"/>
    </row>
    <row r="12" ht="17" customHeight="1" spans="1:2" x14ac:dyDescent="0.25">
      <c r="A12" s="31" t="s">
        <v>43</v>
      </c>
      <c r="B12" s="32">
        <f>+B78</f>
        <v>16.45046283843822</v>
      </c>
    </row>
    <row r="13" ht="17" customHeight="1" spans="2:2" x14ac:dyDescent="0.25">
      <c r="B13" s="8"/>
    </row>
    <row r="14" ht="20" customHeight="1" spans="1:17" x14ac:dyDescent="0.25">
      <c r="A14" s="11" t="s">
        <v>12</v>
      </c>
      <c r="B14" s="12" t="s">
        <v>44</v>
      </c>
      <c r="C14" s="12" t="s">
        <v>45</v>
      </c>
      <c r="D14" s="12" t="s">
        <v>46</v>
      </c>
      <c r="E14" s="12" t="s">
        <v>47</v>
      </c>
      <c r="F14" s="28" t="s">
        <v>48</v>
      </c>
      <c r="G14" s="12" t="s">
        <v>49</v>
      </c>
      <c r="H14" s="12" t="s">
        <v>50</v>
      </c>
      <c r="I14" s="12" t="s">
        <v>51</v>
      </c>
      <c r="J14" s="12" t="s">
        <v>52</v>
      </c>
      <c r="K14" s="12" t="s">
        <v>53</v>
      </c>
      <c r="L14" s="12" t="s">
        <v>54</v>
      </c>
      <c r="M14" s="12" t="s">
        <v>55</v>
      </c>
      <c r="N14" s="12" t="s">
        <v>56</v>
      </c>
      <c r="O14" s="12" t="s">
        <v>57</v>
      </c>
      <c r="P14" s="12" t="s">
        <v>58</v>
      </c>
      <c r="Q14" s="12" t="s">
        <v>59</v>
      </c>
    </row>
    <row r="15" ht="20" customHeight="1" spans="1:17" x14ac:dyDescent="0.25">
      <c r="A15" s="11"/>
      <c r="B15" s="12" t="s">
        <v>60</v>
      </c>
      <c r="C15" s="12" t="s">
        <v>60</v>
      </c>
      <c r="D15" s="12" t="s">
        <v>60</v>
      </c>
      <c r="E15" s="12" t="s">
        <v>60</v>
      </c>
      <c r="F15" s="28" t="s">
        <v>60</v>
      </c>
      <c r="G15" s="12" t="s">
        <v>61</v>
      </c>
      <c r="H15" s="12" t="s">
        <v>61</v>
      </c>
      <c r="I15" s="12" t="s">
        <v>61</v>
      </c>
      <c r="J15" s="12" t="s">
        <v>61</v>
      </c>
      <c r="K15" s="12" t="s">
        <v>61</v>
      </c>
      <c r="L15" s="12" t="s">
        <v>61</v>
      </c>
      <c r="M15" s="12" t="s">
        <v>61</v>
      </c>
      <c r="N15" s="12" t="s">
        <v>61</v>
      </c>
      <c r="O15" s="12" t="s">
        <v>61</v>
      </c>
      <c r="P15" s="12" t="s">
        <v>61</v>
      </c>
      <c r="Q15" s="12" t="s">
        <v>62</v>
      </c>
    </row>
    <row r="16" ht="20" customHeight="1" spans="1:17" x14ac:dyDescent="0.25">
      <c r="A16" s="13" t="s">
        <v>63</v>
      </c>
      <c r="B16" s="33">
        <v>3558.761</v>
      </c>
      <c r="C16" s="33">
        <v>2321.417</v>
      </c>
      <c r="D16" s="33">
        <v>2039.121</v>
      </c>
      <c r="E16" s="33">
        <v>1593.731</v>
      </c>
      <c r="F16" s="34">
        <v>4363.825</v>
      </c>
      <c r="G16" s="35">
        <f>+F16*(1+G17)</f>
        <v>64280.700000000004</v>
      </c>
      <c r="H16" s="35">
        <f t="shared" ref="H16:Q16" si="0">+G16*(1+H17)</f>
        <v>70708.77</v>
      </c>
      <c r="I16" s="35">
        <f t="shared" si="0"/>
        <v>77779.64700000001</v>
      </c>
      <c r="J16" s="35">
        <f t="shared" si="0"/>
        <v>85557.61170000002</v>
      </c>
      <c r="K16" s="35">
        <f t="shared" si="0"/>
        <v>94113.37287000004</v>
      </c>
      <c r="L16" s="35">
        <f t="shared" si="0"/>
        <v>103524.71015700005</v>
      </c>
      <c r="M16" s="35">
        <f t="shared" si="0"/>
        <v>113877.18117270006</v>
      </c>
      <c r="N16" s="35">
        <f t="shared" si="0"/>
        <v>125264.89928997008</v>
      </c>
      <c r="O16" s="35">
        <f t="shared" si="0"/>
        <v>137791.3892189671</v>
      </c>
      <c r="P16" s="36">
        <f t="shared" si="0"/>
        <v>151570.5281408638</v>
      </c>
      <c r="Q16" s="37">
        <f t="shared" si="0"/>
        <v>157633.34926649838</v>
      </c>
    </row>
    <row r="17" ht="20" customHeight="1" spans="1:17" s="38" customFormat="1" x14ac:dyDescent="0.25">
      <c r="A17" s="39" t="s">
        <v>64</v>
      </c>
      <c r="B17" s="40"/>
      <c r="C17" s="38">
        <f>+IFERROR(C16/B16-1,"n/a")</f>
        <v>0.11294862772695291</v>
      </c>
      <c r="D17" s="38">
        <f t="shared" ref="D17:F17" si="1">+IFERROR(D16/C16-1,"n/a")</f>
        <v>0.15446456799602548</v>
      </c>
      <c r="E17" s="38">
        <f t="shared" si="1"/>
        <v>0.18187864324556946</v>
      </c>
      <c r="F17" s="38">
        <f t="shared" si="1"/>
        <v>-0.03282025819265144</v>
      </c>
      <c r="G17" s="41">
        <f>+CHOOSE($B$7,G18,G19,G20,G21)</f>
        <v>0.1</v>
      </c>
      <c r="H17" s="41">
        <f t="shared" ref="H17:P17" si="2">+CHOOSE($B$7,H18,H19,H20,H21)</f>
        <v>0.1</v>
      </c>
      <c r="I17" s="41">
        <f t="shared" si="2"/>
        <v>0.1</v>
      </c>
      <c r="J17" s="41">
        <f t="shared" si="2"/>
        <v>0.1</v>
      </c>
      <c r="K17" s="41">
        <f t="shared" si="2"/>
        <v>0.1</v>
      </c>
      <c r="L17" s="41">
        <f t="shared" si="2"/>
        <v>0.1</v>
      </c>
      <c r="M17" s="41">
        <f t="shared" si="2"/>
        <v>0.1</v>
      </c>
      <c r="N17" s="41">
        <f t="shared" si="2"/>
        <v>0.1</v>
      </c>
      <c r="O17" s="41">
        <f t="shared" si="2"/>
        <v>0.1</v>
      </c>
      <c r="P17" s="41">
        <f t="shared" si="2"/>
        <v>0.1</v>
      </c>
      <c r="Q17" s="41">
        <f>+CHOOSE($B$7,Q18,Q19,Q20,Q21)+'DCF Model &amp; Sensitivity'!F10</f>
        <v>0.04</v>
      </c>
    </row>
    <row r="18" ht="20" customHeight="1" spans="1:17" s="38" customFormat="1" x14ac:dyDescent="0.25">
      <c r="A18" s="42" t="s">
        <v>65</v>
      </c>
      <c r="F18" s="43"/>
      <c r="G18" s="41">
        <f>+G19*'Key DCF Assumptions'!$B$8</f>
        <v>0.12</v>
      </c>
      <c r="H18" s="41">
        <f>+H19*'Key DCF Assumptions'!$B$8</f>
        <v>0.12</v>
      </c>
      <c r="I18" s="41">
        <f>+I19*'Key DCF Assumptions'!$B$8</f>
        <v>0.12</v>
      </c>
      <c r="J18" s="41">
        <f>+J19*'Key DCF Assumptions'!$B$8</f>
        <v>0.12</v>
      </c>
      <c r="K18" s="41">
        <f>+K19*'Key DCF Assumptions'!$B$8</f>
        <v>0.12</v>
      </c>
      <c r="L18" s="41">
        <f>+L19*'Key DCF Assumptions'!$B$8</f>
        <v>0.12</v>
      </c>
      <c r="M18" s="41">
        <f>+M19*'Key DCF Assumptions'!$B$8</f>
        <v>0.12</v>
      </c>
      <c r="N18" s="41">
        <f>+N19*'Key DCF Assumptions'!$B$8</f>
        <v>0.12</v>
      </c>
      <c r="O18" s="41">
        <f>+O19*'Key DCF Assumptions'!$B$8</f>
        <v>0.12</v>
      </c>
      <c r="P18" s="41">
        <f>+P19*'Key DCF Assumptions'!$B$8</f>
        <v>0.12</v>
      </c>
      <c r="Q18" s="41">
        <f>+Q19*'Key DCF Assumptions'!$B$8</f>
        <v>0.048</v>
      </c>
    </row>
    <row r="19" ht="20" customHeight="1" spans="1:17" s="38" customFormat="1" x14ac:dyDescent="0.25">
      <c r="A19" s="42" t="s">
        <v>66</v>
      </c>
      <c r="F19" s="43"/>
      <c r="G19" s="44">
        <v>-0.3681397385019197</v>
      </c>
      <c r="H19" s="44">
        <v>0.12198884692266687</v>
      </c>
      <c r="I19" s="44">
        <v>0.211045388957805</v>
      </c>
      <c r="J19" s="44">
        <v>0.18716471533807932</v>
      </c>
      <c r="K19" s="44">
        <v>0.16328404171835365</v>
      </c>
      <c r="L19" s="44">
        <v>0.1394033680986282</v>
      </c>
      <c r="M19" s="44">
        <v>0.11552269447890251</v>
      </c>
      <c r="N19" s="44">
        <v>0.09164202085917683</v>
      </c>
      <c r="O19" s="44">
        <v>0.06776134723945137</v>
      </c>
      <c r="P19" s="44">
        <v>0.043880673619725696</v>
      </c>
      <c r="Q19" s="44">
        <v>0.020000000000000018</v>
      </c>
    </row>
    <row r="20" ht="20" customHeight="1" spans="1:17" s="38" customFormat="1" x14ac:dyDescent="0.25">
      <c r="A20" s="42" t="s">
        <v>67</v>
      </c>
      <c r="F20" s="43"/>
      <c r="G20" s="41">
        <f>+G19*'Key DCF Assumptions'!$B$9</f>
        <v>0.09000000000000001</v>
      </c>
      <c r="H20" s="41">
        <f>+H19*'Key DCF Assumptions'!$B$9</f>
        <v>0.09000000000000001</v>
      </c>
      <c r="I20" s="41">
        <f>+I19*'Key DCF Assumptions'!$B$9</f>
        <v>0.09000000000000001</v>
      </c>
      <c r="J20" s="41">
        <f>+J19*'Key DCF Assumptions'!$B$9</f>
        <v>0.09000000000000001</v>
      </c>
      <c r="K20" s="41">
        <f>+K19*'Key DCF Assumptions'!$B$9</f>
        <v>0.09000000000000001</v>
      </c>
      <c r="L20" s="41">
        <f>+L19*'Key DCF Assumptions'!$B$9</f>
        <v>0.09000000000000001</v>
      </c>
      <c r="M20" s="41">
        <f>+M19*'Key DCF Assumptions'!$B$9</f>
        <v>0.09000000000000001</v>
      </c>
      <c r="N20" s="41">
        <f>+N19*'Key DCF Assumptions'!$B$9</f>
        <v>0.09000000000000001</v>
      </c>
      <c r="O20" s="41">
        <f>+O19*'Key DCF Assumptions'!$B$9</f>
        <v>0.09000000000000001</v>
      </c>
      <c r="P20" s="41">
        <f>+P19*'Key DCF Assumptions'!$B$9</f>
        <v>0.09000000000000001</v>
      </c>
      <c r="Q20" s="41">
        <f>+Q19*'Key DCF Assumptions'!$B$9</f>
        <v>0.036000000000000004</v>
      </c>
    </row>
    <row r="21" ht="20" customHeight="1" spans="1:17" s="38" customFormat="1" x14ac:dyDescent="0.25">
      <c r="A21" s="42" t="s">
        <v>68</v>
      </c>
      <c r="F21" s="43"/>
      <c r="G21" s="44">
        <f>+G19</f>
        <v>0.1</v>
      </c>
      <c r="H21" s="44">
        <f t="shared" ref="H21:Q21" si="3">+H19</f>
        <v>0.1</v>
      </c>
      <c r="I21" s="44">
        <f t="shared" si="3"/>
        <v>0.1</v>
      </c>
      <c r="J21" s="44">
        <f t="shared" si="3"/>
        <v>0.1</v>
      </c>
      <c r="K21" s="44">
        <f t="shared" si="3"/>
        <v>0.1</v>
      </c>
      <c r="L21" s="44">
        <f t="shared" si="3"/>
        <v>0.1</v>
      </c>
      <c r="M21" s="44">
        <f t="shared" si="3"/>
        <v>0.1</v>
      </c>
      <c r="N21" s="44">
        <f t="shared" si="3"/>
        <v>0.1</v>
      </c>
      <c r="O21" s="44">
        <f t="shared" si="3"/>
        <v>0.1</v>
      </c>
      <c r="P21" s="44">
        <f t="shared" si="3"/>
        <v>0.1</v>
      </c>
      <c r="Q21" s="44">
        <f t="shared" si="3"/>
        <v>0.04</v>
      </c>
    </row>
    <row r="22" ht="20" customHeight="1" spans="1:17" s="45" customFormat="1" x14ac:dyDescent="0.25">
      <c r="A22" s="46"/>
      <c r="F22" s="47"/>
      <c r="P22" s="47"/>
      <c r="Q22" s="48"/>
    </row>
    <row r="23" ht="20" customHeight="1" spans="1:17" x14ac:dyDescent="0.25">
      <c r="A23" s="13" t="s">
        <v>69</v>
      </c>
      <c r="B23" s="33">
        <v>1359.335</v>
      </c>
      <c r="C23" s="33">
        <v>688.693</v>
      </c>
      <c r="D23" s="33">
        <v>354.038</v>
      </c>
      <c r="E23" s="33">
        <v>901.032</v>
      </c>
      <c r="F23" s="34">
        <v>1511.972</v>
      </c>
      <c r="G23" s="35">
        <f>+G24*G$16</f>
        <v>6428.070000000001</v>
      </c>
      <c r="H23" s="35">
        <f t="shared" ref="H23:Q23" si="4">+H24*H$16</f>
        <v>7070.877</v>
      </c>
      <c r="I23" s="35">
        <f t="shared" si="4"/>
        <v>7777.964700000001</v>
      </c>
      <c r="J23" s="35">
        <f t="shared" si="4"/>
        <v>8555.761170000003</v>
      </c>
      <c r="K23" s="35">
        <f t="shared" si="4"/>
        <v>9411.337287000004</v>
      </c>
      <c r="L23" s="35">
        <f t="shared" si="4"/>
        <v>10352.471015700006</v>
      </c>
      <c r="M23" s="35">
        <f t="shared" si="4"/>
        <v>11387.718117270007</v>
      </c>
      <c r="N23" s="35">
        <f t="shared" si="4"/>
        <v>12526.489928997009</v>
      </c>
      <c r="O23" s="35">
        <f t="shared" si="4"/>
        <v>13779.138921896709</v>
      </c>
      <c r="P23" s="36">
        <f t="shared" si="4"/>
        <v>15157.052814086383</v>
      </c>
      <c r="Q23" s="37">
        <f t="shared" si="4"/>
        <v>15763.334926649839</v>
      </c>
    </row>
    <row r="24" ht="20" customHeight="1" spans="1:17" s="38" customFormat="1" x14ac:dyDescent="0.25">
      <c r="A24" s="39" t="s">
        <v>70</v>
      </c>
      <c r="B24" s="38">
        <f>+IFERROR(B23/B$16,"n/a")</f>
        <v>1</v>
      </c>
      <c r="C24" s="38">
        <f t="shared" ref="C24:F24" si="5">+IFERROR(C23/C$16,"n/a")</f>
        <v>1</v>
      </c>
      <c r="D24" s="38">
        <f t="shared" si="5"/>
        <v>1</v>
      </c>
      <c r="E24" s="38">
        <f t="shared" si="5"/>
        <v>1</v>
      </c>
      <c r="F24" s="38">
        <f t="shared" si="5"/>
        <v>1</v>
      </c>
      <c r="G24" s="41">
        <f>+CHOOSE($B$7,G25,G26,G27,G28)</f>
        <v>0.1</v>
      </c>
      <c r="H24" s="41">
        <f t="shared" ref="H24" si="6">+CHOOSE($B$7,H25,H26,H27,H28)</f>
        <v>0.1</v>
      </c>
      <c r="I24" s="41">
        <f t="shared" ref="I24" si="7">+CHOOSE($B$7,I25,I26,I27,I28)</f>
        <v>0.1</v>
      </c>
      <c r="J24" s="41">
        <f t="shared" ref="J24" si="8">+CHOOSE($B$7,J25,J26,J27,J28)</f>
        <v>0.1</v>
      </c>
      <c r="K24" s="41">
        <f t="shared" ref="K24" si="9">+CHOOSE($B$7,K25,K26,K27,K28)</f>
        <v>0.1</v>
      </c>
      <c r="L24" s="41">
        <f t="shared" ref="L24" si="10">+CHOOSE($B$7,L25,L26,L27,L28)</f>
        <v>0.1</v>
      </c>
      <c r="M24" s="41">
        <f t="shared" ref="M24" si="11">+CHOOSE($B$7,M25,M26,M27,M28)</f>
        <v>0.1</v>
      </c>
      <c r="N24" s="41">
        <f t="shared" ref="N24" si="12">+CHOOSE($B$7,N25,N26,N27,N28)</f>
        <v>0.1</v>
      </c>
      <c r="O24" s="41">
        <f t="shared" ref="O24" si="13">+CHOOSE($B$7,O25,O26,O27,O28)</f>
        <v>0.1</v>
      </c>
      <c r="P24" s="41">
        <f t="shared" ref="P24" si="14">+CHOOSE($B$7,P25,P26,P27,P28)</f>
        <v>0.1</v>
      </c>
      <c r="Q24" s="41">
        <f t="shared" ref="Q24" si="15">+CHOOSE($B$7,Q25,Q26,Q27,Q28)</f>
        <v>0.1</v>
      </c>
    </row>
    <row r="25" ht="20" customHeight="1" spans="1:17" s="38" customFormat="1" x14ac:dyDescent="0.25">
      <c r="A25" s="42" t="s">
        <v>65</v>
      </c>
      <c r="F25" s="43"/>
      <c r="G25" s="41">
        <f>+G26+'Key DCF Assumptions'!$B$12</f>
        <v>0.12000000000000001</v>
      </c>
      <c r="H25" s="41">
        <f>+H26+'Key DCF Assumptions'!$B$12</f>
        <v>0.12000000000000001</v>
      </c>
      <c r="I25" s="41">
        <f>+I26+'Key DCF Assumptions'!$B$12</f>
        <v>0.12000000000000001</v>
      </c>
      <c r="J25" s="41">
        <f>+J26+'Key DCF Assumptions'!$B$12</f>
        <v>0.12000000000000001</v>
      </c>
      <c r="K25" s="41">
        <f>+K26+'Key DCF Assumptions'!$B$12</f>
        <v>0.12000000000000001</v>
      </c>
      <c r="L25" s="41">
        <f>+L26+'Key DCF Assumptions'!$B$12</f>
        <v>0.12000000000000001</v>
      </c>
      <c r="M25" s="41">
        <f>+M26+'Key DCF Assumptions'!$B$12</f>
        <v>0.12000000000000001</v>
      </c>
      <c r="N25" s="41">
        <f>+N26+'Key DCF Assumptions'!$B$12</f>
        <v>0.12000000000000001</v>
      </c>
      <c r="O25" s="41">
        <f>+O26+'Key DCF Assumptions'!$B$12</f>
        <v>0.12000000000000001</v>
      </c>
      <c r="P25" s="41">
        <f>+P26+'Key DCF Assumptions'!$B$12</f>
        <v>0.12000000000000001</v>
      </c>
      <c r="Q25" s="41">
        <f>+Q26+'Key DCF Assumptions'!$B$12</f>
        <v>0.12000000000000001</v>
      </c>
    </row>
    <row r="26" ht="20" customHeight="1" spans="1:17" s="38" customFormat="1" x14ac:dyDescent="0.25">
      <c r="A26" s="42" t="s">
        <v>66</v>
      </c>
      <c r="F26" s="43"/>
      <c r="G26" s="44">
        <v>0.33447141911162204</v>
      </c>
      <c r="H26" s="44">
        <v>0.3344714189423982</v>
      </c>
      <c r="I26" s="44">
        <v>0.3344714191533657</v>
      </c>
      <c r="J26" s="44">
        <v>0.3344714191533657</v>
      </c>
      <c r="K26" s="44">
        <v>0.3344714191533657</v>
      </c>
      <c r="L26" s="44">
        <v>0.3344714191533657</v>
      </c>
      <c r="M26" s="44">
        <v>0.3344714191533657</v>
      </c>
      <c r="N26" s="44">
        <v>0.3344714191533657</v>
      </c>
      <c r="O26" s="44">
        <v>0.3344714191533657</v>
      </c>
      <c r="P26" s="44">
        <v>0.3344714191533657</v>
      </c>
      <c r="Q26" s="44">
        <v>0.3344714191533657</v>
      </c>
    </row>
    <row r="27" ht="20" customHeight="1" spans="1:17" s="38" customFormat="1" x14ac:dyDescent="0.25">
      <c r="A27" s="42" t="s">
        <v>67</v>
      </c>
      <c r="F27" s="43"/>
      <c r="G27" s="41">
        <f>+G26+'Key DCF Assumptions'!$B$13</f>
        <v>0.09000000000000001</v>
      </c>
      <c r="H27" s="41">
        <f>+H26+'Key DCF Assumptions'!$B$13</f>
        <v>0.09000000000000001</v>
      </c>
      <c r="I27" s="41">
        <f>+I26+'Key DCF Assumptions'!$B$13</f>
        <v>0.09000000000000001</v>
      </c>
      <c r="J27" s="41">
        <f>+J26+'Key DCF Assumptions'!$B$13</f>
        <v>0.09000000000000001</v>
      </c>
      <c r="K27" s="41">
        <f>+K26+'Key DCF Assumptions'!$B$13</f>
        <v>0.09000000000000001</v>
      </c>
      <c r="L27" s="41">
        <f>+L26+'Key DCF Assumptions'!$B$13</f>
        <v>0.09000000000000001</v>
      </c>
      <c r="M27" s="41">
        <f>+M26+'Key DCF Assumptions'!$B$13</f>
        <v>0.09000000000000001</v>
      </c>
      <c r="N27" s="41">
        <f>+N26+'Key DCF Assumptions'!$B$13</f>
        <v>0.09000000000000001</v>
      </c>
      <c r="O27" s="41">
        <f>+O26+'Key DCF Assumptions'!$B$13</f>
        <v>0.09000000000000001</v>
      </c>
      <c r="P27" s="41">
        <f>+P26+'Key DCF Assumptions'!$B$13</f>
        <v>0.09000000000000001</v>
      </c>
      <c r="Q27" s="41">
        <f>+Q26+'Key DCF Assumptions'!$B$13</f>
        <v>0.09000000000000001</v>
      </c>
    </row>
    <row r="28" ht="20" customHeight="1" spans="1:17" s="38" customFormat="1" x14ac:dyDescent="0.25">
      <c r="A28" s="42" t="s">
        <v>68</v>
      </c>
      <c r="F28" s="43"/>
      <c r="G28" s="44">
        <f>+G26</f>
        <v>0.1</v>
      </c>
      <c r="H28" s="44">
        <f t="shared" ref="H28:Q28" si="16">+H26</f>
        <v>0.1</v>
      </c>
      <c r="I28" s="44">
        <f t="shared" si="16"/>
        <v>0.1</v>
      </c>
      <c r="J28" s="44">
        <f t="shared" si="16"/>
        <v>0.1</v>
      </c>
      <c r="K28" s="44">
        <f t="shared" si="16"/>
        <v>0.1</v>
      </c>
      <c r="L28" s="44">
        <f t="shared" si="16"/>
        <v>0.1</v>
      </c>
      <c r="M28" s="44">
        <f t="shared" si="16"/>
        <v>0.1</v>
      </c>
      <c r="N28" s="44">
        <f t="shared" si="16"/>
        <v>0.1</v>
      </c>
      <c r="O28" s="44">
        <f t="shared" si="16"/>
        <v>0.1</v>
      </c>
      <c r="P28" s="44">
        <f t="shared" si="16"/>
        <v>0.1</v>
      </c>
      <c r="Q28" s="44">
        <f t="shared" si="16"/>
        <v>0.1</v>
      </c>
    </row>
    <row r="29" ht="20" customHeight="1" spans="2:17" x14ac:dyDescent="0.25">
      <c r="B29" s="49"/>
      <c r="C29" s="49"/>
      <c r="D29" s="49"/>
      <c r="E29" s="49"/>
      <c r="F29" s="50"/>
      <c r="G29" s="49"/>
      <c r="H29" s="49"/>
      <c r="I29" s="49"/>
      <c r="J29" s="49"/>
      <c r="K29" s="49"/>
      <c r="L29" s="49"/>
      <c r="M29" s="49"/>
      <c r="N29" s="49"/>
      <c r="O29" s="49"/>
      <c r="P29" s="50"/>
      <c r="Q29" s="51"/>
    </row>
    <row r="30" ht="20" customHeight="1" spans="1:17" s="52" customFormat="1" x14ac:dyDescent="0.25">
      <c r="A30" s="52" t="s">
        <v>71</v>
      </c>
      <c r="B30" s="53">
        <f>+B23*(1-B31)</f>
        <v>35013.44</v>
      </c>
      <c r="C30" s="53">
        <f t="shared" ref="C30:F30" si="17">+C23*(1-C31)</f>
        <v>38968.16</v>
      </c>
      <c r="D30" s="53">
        <f t="shared" si="17"/>
        <v>44987.36</v>
      </c>
      <c r="E30" s="53">
        <f t="shared" si="17"/>
        <v>53169.6</v>
      </c>
      <c r="F30" s="54">
        <f t="shared" si="17"/>
        <v>51424.56</v>
      </c>
      <c r="G30" s="53">
        <f t="shared" ref="G30" si="18">+G23*(1-G31)</f>
        <v>5656.7016</v>
      </c>
      <c r="H30" s="53">
        <f t="shared" ref="H30" si="19">+H23*(1-H31)</f>
        <v>6222.37176</v>
      </c>
      <c r="I30" s="53">
        <f t="shared" ref="I30" si="20">+I23*(1-I31)</f>
        <v>6844.608936000001</v>
      </c>
      <c r="J30" s="53">
        <f t="shared" ref="J30" si="21">+J23*(1-J31)</f>
        <v>7529.069829600003</v>
      </c>
      <c r="K30" s="53">
        <f t="shared" ref="K30" si="22">+K23*(1-K31)</f>
        <v>8281.976812560004</v>
      </c>
      <c r="L30" s="53">
        <f t="shared" ref="L30" si="23">+L23*(1-L31)</f>
        <v>9110.174493816006</v>
      </c>
      <c r="M30" s="53">
        <f t="shared" ref="M30" si="24">+M23*(1-M31)</f>
        <v>10021.191943197608</v>
      </c>
      <c r="N30" s="53">
        <f t="shared" ref="N30" si="25">+N23*(1-N31)</f>
        <v>11023.311137517368</v>
      </c>
      <c r="O30" s="53">
        <f t="shared" ref="O30" si="26">+O23*(1-O31)</f>
        <v>12125.642251269104</v>
      </c>
      <c r="P30" s="54">
        <f t="shared" ref="P30" si="27">+P23*(1-P31)</f>
        <v>13338.206476396017</v>
      </c>
      <c r="Q30" s="55">
        <f t="shared" ref="Q30" si="28">+Q23*(1-Q31)</f>
        <v>13871.734735451859</v>
      </c>
    </row>
    <row r="31" ht="20" customHeight="1" spans="1:17" x14ac:dyDescent="0.25">
      <c r="A31" s="46" t="s">
        <v>72</v>
      </c>
      <c r="B31" s="44">
        <v>0.2616961807203298</v>
      </c>
      <c r="C31" s="44">
        <v>0.28521737039024603</v>
      </c>
      <c r="D31" s="44">
        <v>0.21224629828296965</v>
      </c>
      <c r="E31" s="44">
        <v>0.22343439078762972</v>
      </c>
      <c r="F31" s="44">
        <v>0.09129207115486102</v>
      </c>
      <c r="G31" s="44">
        <v>0.09129207115486102</v>
      </c>
      <c r="H31" s="44">
        <v>0.09129207115486102</v>
      </c>
      <c r="I31" s="44">
        <v>0.09129207115486102</v>
      </c>
      <c r="J31" s="44">
        <v>0.09129207115486102</v>
      </c>
      <c r="K31" s="44">
        <v>0.09129207115486102</v>
      </c>
      <c r="L31" s="44">
        <v>0.09129207115486102</v>
      </c>
      <c r="M31" s="44">
        <v>0.09129207115486102</v>
      </c>
      <c r="N31" s="44">
        <v>0.09129207115486102</v>
      </c>
      <c r="O31" s="44">
        <v>0.09129207115486102</v>
      </c>
      <c r="P31" s="44">
        <v>0.09129207115486102</v>
      </c>
      <c r="Q31" s="44">
        <v>0.09129207115486102</v>
      </c>
    </row>
    <row r="32" ht="20" customHeight="1" spans="1:17" x14ac:dyDescent="0.25">
      <c r="A32" s="56" t="s">
        <v>70</v>
      </c>
      <c r="B32" s="57">
        <f>+IFERROR(B30/B$16,"n/a")</f>
        <v>0.88</v>
      </c>
      <c r="C32" s="57">
        <f t="shared" ref="C32:Q32" si="29">+IFERROR(C30/C$16,"n/a")</f>
        <v>0.8800000000000001</v>
      </c>
      <c r="D32" s="57">
        <f t="shared" si="29"/>
        <v>0.88</v>
      </c>
      <c r="E32" s="57">
        <f t="shared" si="29"/>
        <v>0.88</v>
      </c>
      <c r="F32" s="58">
        <f t="shared" si="29"/>
        <v>0.88</v>
      </c>
      <c r="G32" s="57">
        <f t="shared" si="29"/>
        <v>0.088</v>
      </c>
      <c r="H32" s="57">
        <f t="shared" si="29"/>
        <v>0.088</v>
      </c>
      <c r="I32" s="57">
        <f t="shared" si="29"/>
        <v>0.08800000000000001</v>
      </c>
      <c r="J32" s="57">
        <f t="shared" si="29"/>
        <v>0.08800000000000001</v>
      </c>
      <c r="K32" s="57">
        <f t="shared" si="29"/>
        <v>0.08800000000000001</v>
      </c>
      <c r="L32" s="57">
        <f t="shared" si="29"/>
        <v>0.08800000000000002</v>
      </c>
      <c r="M32" s="57">
        <f t="shared" si="29"/>
        <v>0.08800000000000002</v>
      </c>
      <c r="N32" s="57">
        <f t="shared" si="29"/>
        <v>0.08800000000000001</v>
      </c>
      <c r="O32" s="57">
        <f t="shared" si="29"/>
        <v>0.08800000000000001</v>
      </c>
      <c r="P32" s="58">
        <f t="shared" si="29"/>
        <v>0.08800000000000001</v>
      </c>
      <c r="Q32" s="59">
        <f t="shared" si="29"/>
        <v>0.08800000000000001</v>
      </c>
    </row>
    <row r="33" ht="20" customHeight="1" spans="1:17" x14ac:dyDescent="0.25">
      <c r="A33" s="46"/>
      <c r="B33" s="49"/>
      <c r="C33" s="49"/>
      <c r="D33" s="49"/>
      <c r="E33" s="49"/>
      <c r="F33" s="50"/>
      <c r="G33" s="49"/>
      <c r="H33" s="49"/>
      <c r="I33" s="49"/>
      <c r="J33" s="49"/>
      <c r="K33" s="49"/>
      <c r="L33" s="49"/>
      <c r="M33" s="49"/>
      <c r="N33" s="49"/>
      <c r="O33" s="49"/>
      <c r="P33" s="50"/>
      <c r="Q33" s="51"/>
    </row>
    <row r="34" ht="20" customHeight="1" spans="1:17" x14ac:dyDescent="0.25">
      <c r="A34" s="27" t="s">
        <v>19</v>
      </c>
      <c r="B34" s="60">
        <v>42.94</v>
      </c>
      <c r="C34" s="60">
        <v>50.24</v>
      </c>
      <c r="D34" s="60">
        <v>70.018</v>
      </c>
      <c r="E34" s="60">
        <v>69.66</v>
      </c>
      <c r="F34" s="61">
        <v>0</v>
      </c>
      <c r="G34" s="62">
        <f>+G35*G$16</f>
        <v>1285.614</v>
      </c>
      <c r="H34" s="62">
        <f t="shared" ref="H34" si="30">+H35*H$16</f>
        <v>1414.1754</v>
      </c>
      <c r="I34" s="62">
        <f t="shared" ref="I34" si="31">+I35*I$16</f>
        <v>1555.5929400000002</v>
      </c>
      <c r="J34" s="62">
        <f t="shared" ref="J34" si="32">+J35*J$16</f>
        <v>1711.1522340000006</v>
      </c>
      <c r="K34" s="62">
        <f t="shared" ref="K34" si="33">+K35*K$16</f>
        <v>1882.2674574000007</v>
      </c>
      <c r="L34" s="62">
        <f t="shared" ref="L34" si="34">+L35*L$16</f>
        <v>2070.494203140001</v>
      </c>
      <c r="M34" s="62">
        <f t="shared" ref="M34" si="35">+M35*M$16</f>
        <v>2277.543623454001</v>
      </c>
      <c r="N34" s="62">
        <f t="shared" ref="N34" si="36">+N35*N$16</f>
        <v>2505.297985799402</v>
      </c>
      <c r="O34" s="62">
        <f t="shared" ref="O34" si="37">+O35*O$16</f>
        <v>2755.8277843793417</v>
      </c>
      <c r="P34" s="62">
        <f t="shared" ref="P34" si="38">+P35*P$16</f>
        <v>3031.410562817276</v>
      </c>
      <c r="Q34" s="62">
        <f t="shared" ref="Q34" si="39">+Q35*Q$16</f>
        <v>3152.6669853299677</v>
      </c>
    </row>
    <row r="35" ht="20" customHeight="1" spans="1:17" s="45" customFormat="1" x14ac:dyDescent="0.25">
      <c r="A35" s="46" t="s">
        <v>73</v>
      </c>
      <c r="B35" s="38">
        <f t="shared" ref="B35:F35" si="40">+IFERROR(B34/B$16,"n/a")</f>
        <v>0.10993264300794209</v>
      </c>
      <c r="C35" s="45">
        <f t="shared" si="40"/>
        <v>0.12788491938033514</v>
      </c>
      <c r="D35" s="45">
        <f t="shared" si="40"/>
        <v>0.11807049802433395</v>
      </c>
      <c r="E35" s="45">
        <f t="shared" si="40"/>
        <v>0.1015061238000662</v>
      </c>
      <c r="F35" s="47">
        <f t="shared" si="40"/>
        <v>0.08987456577168575</v>
      </c>
      <c r="G35" s="41">
        <f>+CHOOSE($B$7,G36,G37,G38,G39)</f>
        <v>0.02</v>
      </c>
      <c r="H35" s="41">
        <f t="shared" ref="H35" si="41">+CHOOSE($B$7,H36,H37,H38,H39)</f>
        <v>0.02</v>
      </c>
      <c r="I35" s="41">
        <f t="shared" ref="I35" si="42">+CHOOSE($B$7,I36,I37,I38,I39)</f>
        <v>0.02</v>
      </c>
      <c r="J35" s="41">
        <f t="shared" ref="J35" si="43">+CHOOSE($B$7,J36,J37,J38,J39)</f>
        <v>0.02</v>
      </c>
      <c r="K35" s="41">
        <f t="shared" ref="K35" si="44">+CHOOSE($B$7,K36,K37,K38,K39)</f>
        <v>0.02</v>
      </c>
      <c r="L35" s="41">
        <f t="shared" ref="L35" si="45">+CHOOSE($B$7,L36,L37,L38,L39)</f>
        <v>0.02</v>
      </c>
      <c r="M35" s="41">
        <f t="shared" ref="M35" si="46">+CHOOSE($B$7,M36,M37,M38,M39)</f>
        <v>0.02</v>
      </c>
      <c r="N35" s="41">
        <f t="shared" ref="N35" si="47">+CHOOSE($B$7,N36,N37,N38,N39)</f>
        <v>0.02</v>
      </c>
      <c r="O35" s="41">
        <f t="shared" ref="O35" si="48">+CHOOSE($B$7,O36,O37,O38,O39)</f>
        <v>0.02</v>
      </c>
      <c r="P35" s="41">
        <f t="shared" ref="P35" si="49">+CHOOSE($B$7,P36,P37,P38,P39)</f>
        <v>0.02</v>
      </c>
      <c r="Q35" s="41">
        <f t="shared" ref="Q35" si="50">+CHOOSE($B$7,Q36,Q37,Q38,Q39)</f>
        <v>0.02</v>
      </c>
    </row>
    <row r="36" ht="20" customHeight="1" spans="1:17" s="38" customFormat="1" x14ac:dyDescent="0.25">
      <c r="A36" s="42" t="s">
        <v>65</v>
      </c>
      <c r="F36" s="43"/>
      <c r="G36" s="41">
        <f>+G37+'Key DCF Assumptions'!$B$16</f>
        <v>0.02</v>
      </c>
      <c r="H36" s="41">
        <f>+H37+'Key DCF Assumptions'!$B$16</f>
        <v>0.02</v>
      </c>
      <c r="I36" s="41">
        <f>+I37+'Key DCF Assumptions'!$B$16</f>
        <v>0.02</v>
      </c>
      <c r="J36" s="41">
        <f>+J37+'Key DCF Assumptions'!$B$16</f>
        <v>0.02</v>
      </c>
      <c r="K36" s="41">
        <f>+K37+'Key DCF Assumptions'!$B$16</f>
        <v>0.02</v>
      </c>
      <c r="L36" s="41">
        <f>+L37+'Key DCF Assumptions'!$B$16</f>
        <v>0.02</v>
      </c>
      <c r="M36" s="41">
        <f>+M37+'Key DCF Assumptions'!$B$16</f>
        <v>0.02</v>
      </c>
      <c r="N36" s="41">
        <f>+N37+'Key DCF Assumptions'!$B$16</f>
        <v>0.02</v>
      </c>
      <c r="O36" s="41">
        <f>+O37+'Key DCF Assumptions'!$B$16</f>
        <v>0.02</v>
      </c>
      <c r="P36" s="41">
        <f>+P37+'Key DCF Assumptions'!$B$16</f>
        <v>0.02</v>
      </c>
      <c r="Q36" s="41">
        <f>+Q37+'Key DCF Assumptions'!$B$16</f>
        <v>0.02</v>
      </c>
    </row>
    <row r="37" ht="20" customHeight="1" spans="1:17" s="38" customFormat="1" x14ac:dyDescent="0.25">
      <c r="A37" s="42" t="s">
        <v>66</v>
      </c>
      <c r="F37" s="43"/>
      <c r="G37" s="44">
        <v>0.026015366915467464</v>
      </c>
      <c r="H37" s="44">
        <v>0.026015366915467464</v>
      </c>
      <c r="I37" s="44">
        <v>0.026015366915467464</v>
      </c>
      <c r="J37" s="44">
        <v>0.026015366915467464</v>
      </c>
      <c r="K37" s="44">
        <v>0.026015366915467464</v>
      </c>
      <c r="L37" s="44">
        <v>0.026015366915467464</v>
      </c>
      <c r="M37" s="44">
        <v>0.026015366915467464</v>
      </c>
      <c r="N37" s="44">
        <v>0.026015366915467464</v>
      </c>
      <c r="O37" s="44">
        <v>0.026015366915467464</v>
      </c>
      <c r="P37" s="44">
        <v>0.026015366915467464</v>
      </c>
      <c r="Q37" s="44">
        <v>0.026015366915467464</v>
      </c>
    </row>
    <row r="38" ht="20" customHeight="1" spans="1:17" s="38" customFormat="1" x14ac:dyDescent="0.25">
      <c r="A38" s="42" t="s">
        <v>67</v>
      </c>
      <c r="F38" s="43"/>
      <c r="G38" s="41">
        <f>+G37+'Key DCF Assumptions'!$B$17</f>
        <v>0.02</v>
      </c>
      <c r="H38" s="41">
        <f>+H37+'Key DCF Assumptions'!$B$17</f>
        <v>0.02</v>
      </c>
      <c r="I38" s="41">
        <f>+I37+'Key DCF Assumptions'!$B$17</f>
        <v>0.02</v>
      </c>
      <c r="J38" s="41">
        <f>+J37+'Key DCF Assumptions'!$B$17</f>
        <v>0.02</v>
      </c>
      <c r="K38" s="41">
        <f>+K37+'Key DCF Assumptions'!$B$17</f>
        <v>0.02</v>
      </c>
      <c r="L38" s="41">
        <f>+L37+'Key DCF Assumptions'!$B$17</f>
        <v>0.02</v>
      </c>
      <c r="M38" s="41">
        <f>+M37+'Key DCF Assumptions'!$B$17</f>
        <v>0.02</v>
      </c>
      <c r="N38" s="41">
        <f>+N37+'Key DCF Assumptions'!$B$17</f>
        <v>0.02</v>
      </c>
      <c r="O38" s="41">
        <f>+O37+'Key DCF Assumptions'!$B$17</f>
        <v>0.02</v>
      </c>
      <c r="P38" s="41">
        <f>+P37+'Key DCF Assumptions'!$B$17</f>
        <v>0.02</v>
      </c>
      <c r="Q38" s="41">
        <f>+Q37+'Key DCF Assumptions'!$B$17</f>
        <v>0.02</v>
      </c>
    </row>
    <row r="39" ht="20" customHeight="1" spans="1:17" s="38" customFormat="1" x14ac:dyDescent="0.25">
      <c r="A39" s="42" t="s">
        <v>68</v>
      </c>
      <c r="F39" s="43"/>
      <c r="G39" s="44">
        <f>+G37</f>
        <v>0.02</v>
      </c>
      <c r="H39" s="44">
        <f t="shared" ref="H39:Q39" si="51">+H37</f>
        <v>0.02</v>
      </c>
      <c r="I39" s="44">
        <f t="shared" si="51"/>
        <v>0.02</v>
      </c>
      <c r="J39" s="44">
        <f t="shared" si="51"/>
        <v>0.02</v>
      </c>
      <c r="K39" s="44">
        <f t="shared" si="51"/>
        <v>0.02</v>
      </c>
      <c r="L39" s="44">
        <f t="shared" si="51"/>
        <v>0.02</v>
      </c>
      <c r="M39" s="44">
        <f t="shared" si="51"/>
        <v>0.02</v>
      </c>
      <c r="N39" s="44">
        <f t="shared" si="51"/>
        <v>0.02</v>
      </c>
      <c r="O39" s="44">
        <f t="shared" si="51"/>
        <v>0.02</v>
      </c>
      <c r="P39" s="44">
        <f t="shared" si="51"/>
        <v>0.02</v>
      </c>
      <c r="Q39" s="44">
        <f t="shared" si="51"/>
        <v>0.02</v>
      </c>
    </row>
    <row r="40" ht="20" customHeight="1" spans="2:17" x14ac:dyDescent="0.25">
      <c r="B40" s="60"/>
      <c r="C40" s="60"/>
      <c r="D40" s="60"/>
      <c r="E40" s="60"/>
      <c r="F40" s="61"/>
      <c r="G40" s="49"/>
      <c r="H40" s="49"/>
      <c r="I40" s="49"/>
      <c r="J40" s="49"/>
      <c r="K40" s="49"/>
      <c r="L40" s="49"/>
      <c r="M40" s="49"/>
      <c r="N40" s="49"/>
      <c r="O40" s="49"/>
      <c r="P40" s="50"/>
      <c r="Q40" s="51"/>
    </row>
    <row r="41" ht="20" customHeight="1" spans="1:17" x14ac:dyDescent="0.25">
      <c r="A41" s="27" t="s">
        <v>20</v>
      </c>
      <c r="B41" s="60">
        <v>-56.879</v>
      </c>
      <c r="C41" s="60">
        <v>-83.087</v>
      </c>
      <c r="D41" s="60">
        <v>-36.17</v>
      </c>
      <c r="E41" s="60">
        <v>-22.097</v>
      </c>
      <c r="F41" s="61">
        <v>0</v>
      </c>
      <c r="G41" s="62">
        <f>+G42*G$16</f>
        <v>1285.614</v>
      </c>
      <c r="H41" s="62">
        <f t="shared" ref="H41" si="52">+H42*H$16</f>
        <v>1414.1754</v>
      </c>
      <c r="I41" s="62">
        <f t="shared" ref="I41" si="53">+I42*I$16</f>
        <v>1555.5929400000002</v>
      </c>
      <c r="J41" s="62">
        <f t="shared" ref="J41" si="54">+J42*J$16</f>
        <v>1711.1522340000006</v>
      </c>
      <c r="K41" s="62">
        <f t="shared" ref="K41" si="55">+K42*K$16</f>
        <v>1882.2674574000007</v>
      </c>
      <c r="L41" s="62">
        <f t="shared" ref="L41" si="56">+L42*L$16</f>
        <v>2070.494203140001</v>
      </c>
      <c r="M41" s="62">
        <f t="shared" ref="M41" si="57">+M42*M$16</f>
        <v>2277.543623454001</v>
      </c>
      <c r="N41" s="62">
        <f t="shared" ref="N41" si="58">+N42*N$16</f>
        <v>2505.297985799402</v>
      </c>
      <c r="O41" s="62">
        <f t="shared" ref="O41" si="59">+O42*O$16</f>
        <v>2755.8277843793417</v>
      </c>
      <c r="P41" s="62">
        <f t="shared" ref="P41" si="60">+P42*P$16</f>
        <v>3031.410562817276</v>
      </c>
      <c r="Q41" s="62">
        <f t="shared" ref="Q41" si="61">+Q42*Q$16</f>
        <v>3152.6669853299677</v>
      </c>
    </row>
    <row r="42" ht="20" customHeight="1" spans="1:17" s="45" customFormat="1" x14ac:dyDescent="0.25">
      <c r="A42" s="46" t="s">
        <v>73</v>
      </c>
      <c r="B42" s="38">
        <f t="shared" ref="B42:F42" si="62">+IFERROR(B41/B$16,"n/a")</f>
        <v>0.10993264300794209</v>
      </c>
      <c r="C42" s="45">
        <f t="shared" si="62"/>
        <v>0.12788491938033514</v>
      </c>
      <c r="D42" s="45">
        <f t="shared" si="62"/>
        <v>0.11807049802433395</v>
      </c>
      <c r="E42" s="45">
        <f t="shared" si="62"/>
        <v>0.1015061238000662</v>
      </c>
      <c r="F42" s="47">
        <f t="shared" si="62"/>
        <v>0.08987456577168575</v>
      </c>
      <c r="G42" s="41">
        <f>+CHOOSE($B$7,G43,G44,G45,G46)</f>
        <v>0.02</v>
      </c>
      <c r="H42" s="41">
        <f t="shared" ref="H42" si="63">+CHOOSE($B$7,H43,H44,H45,H46)</f>
        <v>0.02</v>
      </c>
      <c r="I42" s="41">
        <f t="shared" ref="I42" si="64">+CHOOSE($B$7,I43,I44,I45,I46)</f>
        <v>0.02</v>
      </c>
      <c r="J42" s="41">
        <f t="shared" ref="J42" si="65">+CHOOSE($B$7,J43,J44,J45,J46)</f>
        <v>0.02</v>
      </c>
      <c r="K42" s="41">
        <f t="shared" ref="K42" si="66">+CHOOSE($B$7,K43,K44,K45,K46)</f>
        <v>0.02</v>
      </c>
      <c r="L42" s="41">
        <f t="shared" ref="L42" si="67">+CHOOSE($B$7,L43,L44,L45,L46)</f>
        <v>0.02</v>
      </c>
      <c r="M42" s="41">
        <f t="shared" ref="M42" si="68">+CHOOSE($B$7,M43,M44,M45,M46)</f>
        <v>0.02</v>
      </c>
      <c r="N42" s="41">
        <f t="shared" ref="N42" si="69">+CHOOSE($B$7,N43,N44,N45,N46)</f>
        <v>0.02</v>
      </c>
      <c r="O42" s="41">
        <f t="shared" ref="O42" si="70">+CHOOSE($B$7,O43,O44,O45,O46)</f>
        <v>0.02</v>
      </c>
      <c r="P42" s="41">
        <f t="shared" ref="P42" si="71">+CHOOSE($B$7,P43,P44,P45,P46)</f>
        <v>0.02</v>
      </c>
      <c r="Q42" s="41">
        <f t="shared" ref="Q42" si="72">+CHOOSE($B$7,Q43,Q44,Q45,Q46)</f>
        <v>0.02</v>
      </c>
    </row>
    <row r="43" ht="20" customHeight="1" spans="1:17" s="38" customFormat="1" x14ac:dyDescent="0.25">
      <c r="A43" s="42" t="s">
        <v>65</v>
      </c>
      <c r="F43" s="43"/>
      <c r="G43" s="41">
        <f>+G44+'Key DCF Assumptions'!$B$20</f>
        <v>0.02</v>
      </c>
      <c r="H43" s="41">
        <f>+H44+'Key DCF Assumptions'!$B$20</f>
        <v>0.02</v>
      </c>
      <c r="I43" s="41">
        <f>+I44+'Key DCF Assumptions'!$B$20</f>
        <v>0.02</v>
      </c>
      <c r="J43" s="41">
        <f>+J44+'Key DCF Assumptions'!$B$20</f>
        <v>0.02</v>
      </c>
      <c r="K43" s="41">
        <f>+K44+'Key DCF Assumptions'!$B$20</f>
        <v>0.02</v>
      </c>
      <c r="L43" s="41">
        <f>+L44+'Key DCF Assumptions'!$B$20</f>
        <v>0.02</v>
      </c>
      <c r="M43" s="41">
        <f>+M44+'Key DCF Assumptions'!$B$20</f>
        <v>0.02</v>
      </c>
      <c r="N43" s="41">
        <f>+N44+'Key DCF Assumptions'!$B$20</f>
        <v>0.02</v>
      </c>
      <c r="O43" s="41">
        <f>+O44+'Key DCF Assumptions'!$B$20</f>
        <v>0.02</v>
      </c>
      <c r="P43" s="41">
        <f>+P44+'Key DCF Assumptions'!$B$20</f>
        <v>0.02</v>
      </c>
      <c r="Q43" s="41">
        <f>+Q44+'Key DCF Assumptions'!$B$20</f>
        <v>0.02</v>
      </c>
    </row>
    <row r="44" ht="20" customHeight="1" spans="1:17" s="38" customFormat="1" x14ac:dyDescent="0.25">
      <c r="A44" s="42" t="s">
        <v>66</v>
      </c>
      <c r="F44" s="43"/>
      <c r="G44" s="44">
        <v>-0.010534328256288049</v>
      </c>
      <c r="H44" s="44">
        <v>-0.010534328256288049</v>
      </c>
      <c r="I44" s="44">
        <v>-0.010534328256288049</v>
      </c>
      <c r="J44" s="44">
        <v>-0.010534328256288049</v>
      </c>
      <c r="K44" s="44">
        <v>-0.010534328256288049</v>
      </c>
      <c r="L44" s="44">
        <v>-0.010534328256288049</v>
      </c>
      <c r="M44" s="44">
        <v>-0.010534328256288049</v>
      </c>
      <c r="N44" s="44">
        <v>-0.010534328256288049</v>
      </c>
      <c r="O44" s="44">
        <v>-0.010534328256288049</v>
      </c>
      <c r="P44" s="44">
        <v>-0.010534328256288049</v>
      </c>
      <c r="Q44" s="44">
        <v>-0.010534328256288049</v>
      </c>
    </row>
    <row r="45" ht="20" customHeight="1" spans="1:17" s="38" customFormat="1" x14ac:dyDescent="0.25">
      <c r="A45" s="42" t="s">
        <v>67</v>
      </c>
      <c r="F45" s="43"/>
      <c r="G45" s="41">
        <f>+G44+'Key DCF Assumptions'!$B$21</f>
        <v>0.02</v>
      </c>
      <c r="H45" s="41">
        <f>+H44+'Key DCF Assumptions'!$B$21</f>
        <v>0.02</v>
      </c>
      <c r="I45" s="41">
        <f>+I44+'Key DCF Assumptions'!$B$21</f>
        <v>0.02</v>
      </c>
      <c r="J45" s="41">
        <f>+J44+'Key DCF Assumptions'!$B$21</f>
        <v>0.02</v>
      </c>
      <c r="K45" s="41">
        <f>+K44+'Key DCF Assumptions'!$B$21</f>
        <v>0.02</v>
      </c>
      <c r="L45" s="41">
        <f>+L44+'Key DCF Assumptions'!$B$21</f>
        <v>0.02</v>
      </c>
      <c r="M45" s="41">
        <f>+M44+'Key DCF Assumptions'!$B$21</f>
        <v>0.02</v>
      </c>
      <c r="N45" s="41">
        <f>+N44+'Key DCF Assumptions'!$B$21</f>
        <v>0.02</v>
      </c>
      <c r="O45" s="41">
        <f>+O44+'Key DCF Assumptions'!$B$21</f>
        <v>0.02</v>
      </c>
      <c r="P45" s="41">
        <f>+P44+'Key DCF Assumptions'!$B$21</f>
        <v>0.02</v>
      </c>
      <c r="Q45" s="41">
        <f>+Q44+'Key DCF Assumptions'!$B$21</f>
        <v>0.02</v>
      </c>
    </row>
    <row r="46" ht="20" customHeight="1" spans="1:17" s="38" customFormat="1" x14ac:dyDescent="0.25">
      <c r="A46" s="42" t="s">
        <v>68</v>
      </c>
      <c r="F46" s="43"/>
      <c r="G46" s="44">
        <f>+G44</f>
        <v>0.02</v>
      </c>
      <c r="H46" s="44">
        <f t="shared" ref="H46:Q46" si="73">+H44</f>
        <v>0.02</v>
      </c>
      <c r="I46" s="44">
        <f t="shared" si="73"/>
        <v>0.02</v>
      </c>
      <c r="J46" s="44">
        <f t="shared" si="73"/>
        <v>0.02</v>
      </c>
      <c r="K46" s="44">
        <f t="shared" si="73"/>
        <v>0.02</v>
      </c>
      <c r="L46" s="44">
        <f t="shared" si="73"/>
        <v>0.02</v>
      </c>
      <c r="M46" s="44">
        <f t="shared" si="73"/>
        <v>0.02</v>
      </c>
      <c r="N46" s="44">
        <f t="shared" si="73"/>
        <v>0.02</v>
      </c>
      <c r="O46" s="44">
        <f t="shared" si="73"/>
        <v>0.02</v>
      </c>
      <c r="P46" s="44">
        <f t="shared" si="73"/>
        <v>0.02</v>
      </c>
      <c r="Q46" s="44">
        <f t="shared" si="73"/>
        <v>0.02</v>
      </c>
    </row>
    <row r="47" ht="20" customHeight="1" spans="2:17" x14ac:dyDescent="0.25">
      <c r="B47" s="60"/>
      <c r="C47" s="60"/>
      <c r="D47" s="60"/>
      <c r="E47" s="60"/>
      <c r="F47" s="61"/>
      <c r="G47" s="49"/>
      <c r="H47" s="49"/>
      <c r="I47" s="49"/>
      <c r="J47" s="49"/>
      <c r="K47" s="49"/>
      <c r="L47" s="49"/>
      <c r="M47" s="49"/>
      <c r="N47" s="49"/>
      <c r="O47" s="49"/>
      <c r="P47" s="50"/>
      <c r="Q47" s="51"/>
    </row>
    <row r="48" ht="20" customHeight="1" spans="1:17" x14ac:dyDescent="0.25">
      <c r="A48" s="27" t="s">
        <v>21</v>
      </c>
      <c r="B48" s="60">
        <v>-17.993</v>
      </c>
      <c r="C48" s="60">
        <v>309.523</v>
      </c>
      <c r="D48" s="60">
        <v>11.24</v>
      </c>
      <c r="E48" s="60">
        <v>-209.538</v>
      </c>
      <c r="F48" s="61">
        <v>0</v>
      </c>
      <c r="G48" s="62">
        <f>+G49*G$16</f>
        <v>1285.614</v>
      </c>
      <c r="H48" s="62">
        <f t="shared" ref="H48" si="74">+H49*H$16</f>
        <v>1414.1754</v>
      </c>
      <c r="I48" s="62">
        <f t="shared" ref="I48" si="75">+I49*I$16</f>
        <v>1555.5929400000002</v>
      </c>
      <c r="J48" s="62">
        <f t="shared" ref="J48" si="76">+J49*J$16</f>
        <v>1711.1522340000006</v>
      </c>
      <c r="K48" s="62">
        <f t="shared" ref="K48" si="77">+K49*K$16</f>
        <v>1882.2674574000007</v>
      </c>
      <c r="L48" s="62">
        <f t="shared" ref="L48" si="78">+L49*L$16</f>
        <v>2070.494203140001</v>
      </c>
      <c r="M48" s="62">
        <f t="shared" ref="M48" si="79">+M49*M$16</f>
        <v>2277.543623454001</v>
      </c>
      <c r="N48" s="62">
        <f t="shared" ref="N48" si="80">+N49*N$16</f>
        <v>2505.297985799402</v>
      </c>
      <c r="O48" s="62">
        <f t="shared" ref="O48" si="81">+O49*O$16</f>
        <v>2755.8277843793417</v>
      </c>
      <c r="P48" s="62">
        <f t="shared" ref="P48" si="82">+P49*P$16</f>
        <v>3031.410562817276</v>
      </c>
      <c r="Q48" s="62">
        <f t="shared" ref="Q48" si="83">+Q49*Q$16</f>
        <v>3152.6669853299677</v>
      </c>
    </row>
    <row r="49" ht="20" customHeight="1" spans="1:17" s="45" customFormat="1" x14ac:dyDescent="0.25">
      <c r="A49" s="46" t="s">
        <v>73</v>
      </c>
      <c r="B49" s="45">
        <f t="shared" ref="B49:F49" si="84">+IFERROR(B48/B$16,"n/a")</f>
        <v>0.10993264300794209</v>
      </c>
      <c r="C49" s="45">
        <f t="shared" si="84"/>
        <v>0.12788491938033514</v>
      </c>
      <c r="D49" s="45">
        <f t="shared" si="84"/>
        <v>0.11807049802433395</v>
      </c>
      <c r="E49" s="45">
        <f t="shared" si="84"/>
        <v>0.1015061238000662</v>
      </c>
      <c r="F49" s="45">
        <f t="shared" si="84"/>
        <v>0.08987456577168575</v>
      </c>
      <c r="G49" s="41">
        <f>+CHOOSE($B$7,G50,G51,G52,G53)</f>
        <v>0.02</v>
      </c>
      <c r="H49" s="41">
        <f t="shared" ref="H49" si="85">+CHOOSE($B$7,H50,H51,H52,H53)</f>
        <v>0.02</v>
      </c>
      <c r="I49" s="41">
        <f t="shared" ref="I49" si="86">+CHOOSE($B$7,I50,I51,I52,I53)</f>
        <v>0.02</v>
      </c>
      <c r="J49" s="41">
        <f t="shared" ref="J49" si="87">+CHOOSE($B$7,J50,J51,J52,J53)</f>
        <v>0.02</v>
      </c>
      <c r="K49" s="41">
        <f t="shared" ref="K49" si="88">+CHOOSE($B$7,K50,K51,K52,K53)</f>
        <v>0.02</v>
      </c>
      <c r="L49" s="41">
        <f t="shared" ref="L49" si="89">+CHOOSE($B$7,L50,L51,L52,L53)</f>
        <v>0.02</v>
      </c>
      <c r="M49" s="41">
        <f t="shared" ref="M49" si="90">+CHOOSE($B$7,M50,M51,M52,M53)</f>
        <v>0.02</v>
      </c>
      <c r="N49" s="41">
        <f t="shared" ref="N49" si="91">+CHOOSE($B$7,N50,N51,N52,N53)</f>
        <v>0.02</v>
      </c>
      <c r="O49" s="41">
        <f t="shared" ref="O49" si="92">+CHOOSE($B$7,O50,O51,O52,O53)</f>
        <v>0.02</v>
      </c>
      <c r="P49" s="41">
        <f t="shared" ref="P49" si="93">+CHOOSE($B$7,P50,P51,P52,P53)</f>
        <v>0.02</v>
      </c>
      <c r="Q49" s="41">
        <f t="shared" ref="Q49" si="94">+CHOOSE($B$7,Q50,Q51,Q52,Q53)</f>
        <v>0.02</v>
      </c>
    </row>
    <row r="50" ht="20" customHeight="1" spans="1:17" s="38" customFormat="1" x14ac:dyDescent="0.25">
      <c r="A50" s="42" t="s">
        <v>65</v>
      </c>
      <c r="F50" s="43"/>
      <c r="G50" s="41">
        <f>+G51+'Key DCF Assumptions'!$B$24</f>
        <v>0.02</v>
      </c>
      <c r="H50" s="41">
        <f>+H51+'Key DCF Assumptions'!$B$24</f>
        <v>0.02</v>
      </c>
      <c r="I50" s="41">
        <f>+I51+'Key DCF Assumptions'!$B$24</f>
        <v>0.02</v>
      </c>
      <c r="J50" s="41">
        <f>+J51+'Key DCF Assumptions'!$B$24</f>
        <v>0.02</v>
      </c>
      <c r="K50" s="41">
        <f>+K51+'Key DCF Assumptions'!$B$24</f>
        <v>0.02</v>
      </c>
      <c r="L50" s="41">
        <f>+L51+'Key DCF Assumptions'!$B$24</f>
        <v>0.02</v>
      </c>
      <c r="M50" s="41">
        <f>+M51+'Key DCF Assumptions'!$B$24</f>
        <v>0.02</v>
      </c>
      <c r="N50" s="41">
        <f>+N51+'Key DCF Assumptions'!$B$24</f>
        <v>0.02</v>
      </c>
      <c r="O50" s="41">
        <f>+O51+'Key DCF Assumptions'!$B$24</f>
        <v>0.02</v>
      </c>
      <c r="P50" s="41">
        <f>+P51+'Key DCF Assumptions'!$B$24</f>
        <v>0.02</v>
      </c>
      <c r="Q50" s="41">
        <f>+Q51+'Key DCF Assumptions'!$B$24</f>
        <v>0.02</v>
      </c>
    </row>
    <row r="51" ht="20" customHeight="1" spans="1:17" s="38" customFormat="1" x14ac:dyDescent="0.25">
      <c r="A51" s="42" t="s">
        <v>66</v>
      </c>
      <c r="F51" s="43"/>
      <c r="G51" s="44">
        <v>-0.041988070637331204</v>
      </c>
      <c r="H51" s="44">
        <v>-0.041988070637331204</v>
      </c>
      <c r="I51" s="44">
        <v>-0.041988070637331204</v>
      </c>
      <c r="J51" s="44">
        <v>-0.041988070637331204</v>
      </c>
      <c r="K51" s="44">
        <v>-0.041988070637331204</v>
      </c>
      <c r="L51" s="44">
        <v>-0.041988070637331204</v>
      </c>
      <c r="M51" s="44">
        <v>-0.041988070637331204</v>
      </c>
      <c r="N51" s="44">
        <v>-0.041988070637331204</v>
      </c>
      <c r="O51" s="44">
        <v>-0.041988070637331204</v>
      </c>
      <c r="P51" s="44">
        <v>-0.041988070637331204</v>
      </c>
      <c r="Q51" s="44">
        <v>-0.041988070637331204</v>
      </c>
    </row>
    <row r="52" ht="20" customHeight="1" spans="1:17" s="38" customFormat="1" x14ac:dyDescent="0.25">
      <c r="A52" s="42" t="s">
        <v>67</v>
      </c>
      <c r="F52" s="43"/>
      <c r="G52" s="41">
        <f>+G51+'Key DCF Assumptions'!$B$25</f>
        <v>0.02</v>
      </c>
      <c r="H52" s="41">
        <f>+H51+'Key DCF Assumptions'!$B$25</f>
        <v>0.02</v>
      </c>
      <c r="I52" s="41">
        <f>+I51+'Key DCF Assumptions'!$B$25</f>
        <v>0.02</v>
      </c>
      <c r="J52" s="41">
        <f>+J51+'Key DCF Assumptions'!$B$25</f>
        <v>0.02</v>
      </c>
      <c r="K52" s="41">
        <f>+K51+'Key DCF Assumptions'!$B$25</f>
        <v>0.02</v>
      </c>
      <c r="L52" s="41">
        <f>+L51+'Key DCF Assumptions'!$B$25</f>
        <v>0.02</v>
      </c>
      <c r="M52" s="41">
        <f>+M51+'Key DCF Assumptions'!$B$25</f>
        <v>0.02</v>
      </c>
      <c r="N52" s="41">
        <f>+N51+'Key DCF Assumptions'!$B$25</f>
        <v>0.02</v>
      </c>
      <c r="O52" s="41">
        <f>+O51+'Key DCF Assumptions'!$B$25</f>
        <v>0.02</v>
      </c>
      <c r="P52" s="41">
        <f>+P51+'Key DCF Assumptions'!$B$25</f>
        <v>0.02</v>
      </c>
      <c r="Q52" s="41">
        <f>+Q51+'Key DCF Assumptions'!$B$25</f>
        <v>0.02</v>
      </c>
    </row>
    <row r="53" ht="20" customHeight="1" spans="1:17" s="38" customFormat="1" x14ac:dyDescent="0.25">
      <c r="A53" s="42" t="s">
        <v>68</v>
      </c>
      <c r="F53" s="43"/>
      <c r="G53" s="44">
        <f>+G51</f>
        <v>0.02</v>
      </c>
      <c r="H53" s="44">
        <f t="shared" ref="H53:Q53" si="95">+H51</f>
        <v>0.02</v>
      </c>
      <c r="I53" s="44">
        <f t="shared" si="95"/>
        <v>0.02</v>
      </c>
      <c r="J53" s="44">
        <f t="shared" si="95"/>
        <v>0.02</v>
      </c>
      <c r="K53" s="44">
        <f t="shared" si="95"/>
        <v>0.02</v>
      </c>
      <c r="L53" s="44">
        <f t="shared" si="95"/>
        <v>0.02</v>
      </c>
      <c r="M53" s="44">
        <f t="shared" si="95"/>
        <v>0.02</v>
      </c>
      <c r="N53" s="44">
        <f t="shared" si="95"/>
        <v>0.02</v>
      </c>
      <c r="O53" s="44">
        <f t="shared" si="95"/>
        <v>0.02</v>
      </c>
      <c r="P53" s="44">
        <f t="shared" si="95"/>
        <v>0.02</v>
      </c>
      <c r="Q53" s="44">
        <f t="shared" si="95"/>
        <v>0.02</v>
      </c>
    </row>
    <row r="54" ht="20" customHeight="1" spans="1:6" s="45" customFormat="1" x14ac:dyDescent="0.25">
      <c r="A54" s="46"/>
      <c r="F54" s="47"/>
    </row>
    <row r="55" ht="20" customHeight="1" spans="1:17" x14ac:dyDescent="0.25">
      <c r="A55" s="13" t="s">
        <v>74</v>
      </c>
      <c r="B55" s="35">
        <f>+B30+B34+B41+B48</f>
        <v>48135.44</v>
      </c>
      <c r="C55" s="35">
        <f t="shared" ref="C55:Q55" si="96">+C30+C34+C41+C48</f>
        <v>55957.16</v>
      </c>
      <c r="D55" s="35">
        <f t="shared" si="96"/>
        <v>63095.36</v>
      </c>
      <c r="E55" s="35">
        <f t="shared" si="96"/>
        <v>71568.6</v>
      </c>
      <c r="F55" s="36">
        <f t="shared" si="96"/>
        <v>67180.56</v>
      </c>
      <c r="G55" s="35">
        <f t="shared" si="96"/>
        <v>9513.543599999999</v>
      </c>
      <c r="H55" s="35">
        <f t="shared" si="96"/>
        <v>10464.89796</v>
      </c>
      <c r="I55" s="35">
        <f t="shared" si="96"/>
        <v>11511.387756000002</v>
      </c>
      <c r="J55" s="35">
        <f t="shared" si="96"/>
        <v>12662.526531600006</v>
      </c>
      <c r="K55" s="35">
        <f t="shared" si="96"/>
        <v>13928.779184760007</v>
      </c>
      <c r="L55" s="35">
        <f t="shared" si="96"/>
        <v>15321.657103236008</v>
      </c>
      <c r="M55" s="35">
        <f t="shared" si="96"/>
        <v>16853.82281355961</v>
      </c>
      <c r="N55" s="35">
        <f t="shared" si="96"/>
        <v>18539.205094915575</v>
      </c>
      <c r="O55" s="35">
        <f t="shared" si="96"/>
        <v>20393.125604407127</v>
      </c>
      <c r="P55" s="36">
        <f t="shared" si="96"/>
        <v>22432.438164847845</v>
      </c>
      <c r="Q55" s="37">
        <f t="shared" si="96"/>
        <v>23329.73569144176</v>
      </c>
    </row>
    <row r="56" ht="20" customHeight="1" spans="1:17" s="45" customFormat="1" x14ac:dyDescent="0.25">
      <c r="A56" s="63" t="s">
        <v>70</v>
      </c>
      <c r="B56" s="64">
        <f>+IFERROR(B55/B$16,"n/a")</f>
        <v>1.2097979290238263</v>
      </c>
      <c r="C56" s="64">
        <f t="shared" ref="C56:Q56" si="97">+IFERROR(C55/C$16,"n/a")</f>
        <v>1.2636547581410054</v>
      </c>
      <c r="D56" s="64">
        <f t="shared" si="97"/>
        <v>1.2342114940730018</v>
      </c>
      <c r="E56" s="64">
        <f t="shared" si="97"/>
        <v>1.1845183714001988</v>
      </c>
      <c r="F56" s="65">
        <f t="shared" si="97"/>
        <v>1.149623697315057</v>
      </c>
      <c r="G56" s="64">
        <f t="shared" si="97"/>
        <v>0.14799999999999996</v>
      </c>
      <c r="H56" s="64">
        <f t="shared" si="97"/>
        <v>0.148</v>
      </c>
      <c r="I56" s="64">
        <f t="shared" si="97"/>
        <v>0.148</v>
      </c>
      <c r="J56" s="64">
        <f t="shared" si="97"/>
        <v>0.14800000000000002</v>
      </c>
      <c r="K56" s="64">
        <f t="shared" si="97"/>
        <v>0.14800000000000002</v>
      </c>
      <c r="L56" s="64">
        <f t="shared" si="97"/>
        <v>0.148</v>
      </c>
      <c r="M56" s="64">
        <f t="shared" si="97"/>
        <v>0.14800000000000002</v>
      </c>
      <c r="N56" s="64">
        <f t="shared" si="97"/>
        <v>0.14800000000000002</v>
      </c>
      <c r="O56" s="64">
        <f t="shared" si="97"/>
        <v>0.148</v>
      </c>
      <c r="P56" s="65">
        <f t="shared" si="97"/>
        <v>0.148</v>
      </c>
      <c r="Q56" s="66">
        <f t="shared" si="97"/>
        <v>0.14800000000000002</v>
      </c>
    </row>
    <row r="57" ht="20" customHeight="1" spans="2:17" x14ac:dyDescent="0.25">
      <c r="B57" s="67"/>
      <c r="C57" s="67"/>
      <c r="D57" s="67"/>
      <c r="E57" s="67"/>
      <c r="F57" s="68"/>
      <c r="G57" s="67"/>
      <c r="H57" s="67"/>
      <c r="I57" s="67"/>
      <c r="J57" s="67"/>
      <c r="K57" s="67"/>
      <c r="L57" s="67"/>
      <c r="M57" s="67"/>
      <c r="N57" s="67"/>
      <c r="O57" s="67"/>
      <c r="P57" s="68"/>
      <c r="Q57" s="69"/>
    </row>
    <row r="58" ht="20" customHeight="1" spans="1:17" x14ac:dyDescent="0.25">
      <c r="A58" s="70" t="s">
        <v>75</v>
      </c>
      <c r="B58" s="67"/>
      <c r="C58" s="67"/>
      <c r="E58" s="67"/>
      <c r="F58" s="68"/>
      <c r="G58" s="71">
        <v>0.7753424657534247</v>
      </c>
      <c r="H58" s="71">
        <v>1</v>
      </c>
      <c r="I58" s="71">
        <v>1</v>
      </c>
      <c r="J58" s="71">
        <v>1</v>
      </c>
      <c r="K58" s="71">
        <v>1</v>
      </c>
      <c r="L58" s="71">
        <v>1</v>
      </c>
      <c r="M58" s="71">
        <v>1</v>
      </c>
      <c r="N58" s="71">
        <v>1</v>
      </c>
      <c r="O58" s="71">
        <v>1</v>
      </c>
      <c r="P58" s="71">
        <v>1</v>
      </c>
      <c r="Q58" s="71">
        <v>0</v>
      </c>
    </row>
    <row r="59" ht="20" customHeight="1" spans="1:17" x14ac:dyDescent="0.25">
      <c r="A59" s="70" t="s">
        <v>76</v>
      </c>
      <c r="B59" s="67"/>
      <c r="C59" s="67"/>
      <c r="D59" s="67"/>
      <c r="E59" s="67"/>
      <c r="F59" s="68"/>
      <c r="G59" s="72">
        <v>0.5</v>
      </c>
      <c r="H59" s="73">
        <f>+G59+1</f>
        <v>1.5</v>
      </c>
      <c r="I59" s="73">
        <f t="shared" ref="I59:P59" si="98">+H59+1</f>
        <v>2.5</v>
      </c>
      <c r="J59" s="73">
        <f t="shared" si="98"/>
        <v>3.5</v>
      </c>
      <c r="K59" s="73">
        <f t="shared" si="98"/>
        <v>4.5</v>
      </c>
      <c r="L59" s="73">
        <f t="shared" si="98"/>
        <v>5.5</v>
      </c>
      <c r="M59" s="73">
        <f t="shared" si="98"/>
        <v>6.5</v>
      </c>
      <c r="N59" s="73">
        <f t="shared" si="98"/>
        <v>7.5</v>
      </c>
      <c r="O59" s="73">
        <f t="shared" si="98"/>
        <v>8.5</v>
      </c>
      <c r="P59" s="73">
        <f t="shared" si="98"/>
        <v>9.5</v>
      </c>
      <c r="Q59" s="72">
        <f>+P59</f>
        <v>9.5</v>
      </c>
    </row>
    <row r="60" ht="20" customHeight="1" spans="1:17" x14ac:dyDescent="0.25">
      <c r="A60" s="70" t="s">
        <v>77</v>
      </c>
      <c r="B60" s="67"/>
      <c r="C60" s="67"/>
      <c r="D60" s="67"/>
      <c r="E60" s="67"/>
      <c r="F60" s="68"/>
      <c r="G60" s="73">
        <f>1/(1+$B$9)^G59</f>
        <v>0.9538094921456446</v>
      </c>
      <c r="H60" s="73">
        <f t="shared" ref="H60:Q60" si="99">1/(1+$B$9)^H59</f>
        <v>0.8677306151252225</v>
      </c>
      <c r="I60" s="73">
        <f t="shared" si="99"/>
        <v>0.7894201374865563</v>
      </c>
      <c r="J60" s="73">
        <f t="shared" si="99"/>
        <v>0.7181769809739413</v>
      </c>
      <c r="K60" s="73">
        <f t="shared" si="99"/>
        <v>0.6533633378583892</v>
      </c>
      <c r="L60" s="73">
        <f t="shared" si="99"/>
        <v>0.5943989609337602</v>
      </c>
      <c r="M60" s="73">
        <f t="shared" si="99"/>
        <v>0.540755968826201</v>
      </c>
      <c r="N60" s="73">
        <f t="shared" si="99"/>
        <v>0.4919541201111727</v>
      </c>
      <c r="O60" s="73">
        <f t="shared" si="99"/>
        <v>0.4475565139293784</v>
      </c>
      <c r="P60" s="73">
        <f t="shared" si="99"/>
        <v>0.4071656786111521</v>
      </c>
      <c r="Q60" s="73">
        <f t="shared" si="99"/>
        <v>0.4071656786111521</v>
      </c>
    </row>
    <row r="61" ht="20" customHeight="1" spans="2:17" x14ac:dyDescent="0.25">
      <c r="B61" s="67"/>
      <c r="C61" s="67"/>
      <c r="D61" s="67"/>
      <c r="E61" s="67"/>
      <c r="F61" s="68"/>
      <c r="G61" s="67"/>
      <c r="H61" s="67"/>
      <c r="I61" s="67"/>
      <c r="J61" s="67"/>
      <c r="K61" s="67"/>
      <c r="L61" s="67"/>
      <c r="M61" s="67"/>
      <c r="N61" s="67"/>
      <c r="O61" s="67"/>
      <c r="P61" s="68"/>
      <c r="Q61" s="69"/>
    </row>
    <row r="62" ht="20" customHeight="1" spans="1:17" s="52" customFormat="1" x14ac:dyDescent="0.25">
      <c r="A62" s="13" t="s">
        <v>78</v>
      </c>
      <c r="B62" s="35"/>
      <c r="C62" s="35"/>
      <c r="D62" s="35"/>
      <c r="E62" s="35"/>
      <c r="F62" s="36"/>
      <c r="G62" s="35">
        <f>+G55*G60*G58</f>
        <v>9074.108189621447</v>
      </c>
      <c r="H62" s="35">
        <f t="shared" ref="H62:P62" si="100">+H55*H60*H58</f>
        <v>9080.712344053487</v>
      </c>
      <c r="I62" s="35">
        <f t="shared" si="100"/>
        <v>9087.321305002582</v>
      </c>
      <c r="J62" s="35">
        <f t="shared" si="100"/>
        <v>9093.935075966925</v>
      </c>
      <c r="K62" s="35">
        <f t="shared" si="100"/>
        <v>9100.55366044725</v>
      </c>
      <c r="L62" s="35">
        <f t="shared" si="100"/>
        <v>9107.17706194685</v>
      </c>
      <c r="M62" s="35">
        <f t="shared" si="100"/>
        <v>9113.805283971556</v>
      </c>
      <c r="N62" s="35">
        <f t="shared" si="100"/>
        <v>9120.438330029761</v>
      </c>
      <c r="O62" s="35">
        <f t="shared" si="100"/>
        <v>9127.076203632401</v>
      </c>
      <c r="P62" s="36">
        <f t="shared" si="100"/>
        <v>9133.71890829298</v>
      </c>
      <c r="Q62" s="37"/>
    </row>
    <row r="64" ht="20" customHeight="1" spans="1:19" x14ac:dyDescent="0.25">
      <c r="A64" s="11" t="s">
        <v>79</v>
      </c>
      <c r="B64" s="12"/>
      <c r="D64" s="12" t="s">
        <v>80</v>
      </c>
      <c r="E64" s="12"/>
      <c r="F64" s="28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ht="16" customHeight="1" spans="1:17" x14ac:dyDescent="0.25">
      <c r="A65" s="27" t="s">
        <v>81</v>
      </c>
      <c r="B65" s="62">
        <f>+SUM(G62:P62)</f>
        <v>91038.84636296525</v>
      </c>
      <c r="D65" s="74" t="s">
        <v>82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ht="16" customHeight="1" spans="1:13" x14ac:dyDescent="0.25">
      <c r="A66" s="75" t="s">
        <v>83</v>
      </c>
      <c r="B66" s="76">
        <f>+IFERROR(IF(B65/(B65+B67*Q60)&lt;'Key DCF Assumptions'!B33,'Key DCF Assumptions'!B33,B65/(B65+B67*Q60)),"n/a")</f>
        <v>0.36198914045928815</v>
      </c>
      <c r="D66" s="52" t="s">
        <v>84</v>
      </c>
      <c r="L66" s="27"/>
      <c r="M66" s="52" t="s">
        <v>84</v>
      </c>
    </row>
    <row r="67" ht="16" customHeight="1" spans="1:19" x14ac:dyDescent="0.25">
      <c r="A67" s="27" t="s">
        <v>25</v>
      </c>
      <c r="B67" s="77">
        <f>+Q55/(B9-B10)</f>
        <v>394083.37316624593</v>
      </c>
      <c r="D67" s="78"/>
      <c r="E67" s="79"/>
      <c r="F67" s="80"/>
      <c r="G67" s="81"/>
      <c r="H67" s="80"/>
      <c r="I67" s="80" t="s">
        <v>85</v>
      </c>
      <c r="J67" s="81"/>
      <c r="K67" s="81"/>
      <c r="L67" s="27"/>
      <c r="M67" s="78"/>
      <c r="N67" s="79"/>
      <c r="O67" s="80"/>
      <c r="P67" s="81"/>
      <c r="Q67" s="80" t="s">
        <v>86</v>
      </c>
      <c r="R67" s="80"/>
      <c r="S67" s="81"/>
    </row>
    <row r="68" ht="16" customHeight="1" spans="1:19" x14ac:dyDescent="0.25">
      <c r="A68" s="27" t="s">
        <v>87</v>
      </c>
      <c r="B68" s="77">
        <f>+B70-B65</f>
        <v>160457.22406460636</v>
      </c>
      <c r="D68" s="82"/>
      <c r="E68" s="83"/>
      <c r="F68" s="84"/>
      <c r="G68" s="85">
        <f>+I68+G69</f>
        <v>0.035</v>
      </c>
      <c r="H68" s="85">
        <f>+I68+H69</f>
        <v>0.0375</v>
      </c>
      <c r="I68" s="86">
        <f>+Q17</f>
        <v>0.04</v>
      </c>
      <c r="J68" s="85">
        <f>+I68+J69</f>
        <v>0.0425</v>
      </c>
      <c r="K68" s="85">
        <f>+I68+K69</f>
        <v>0.045</v>
      </c>
      <c r="L68" s="27"/>
      <c r="M68" s="82"/>
      <c r="N68" s="83"/>
      <c r="O68" s="84"/>
      <c r="P68" s="87" t="s">
        <v>65</v>
      </c>
      <c r="Q68" s="87" t="s">
        <v>66</v>
      </c>
      <c r="R68" s="87" t="s">
        <v>67</v>
      </c>
      <c r="S68" s="87" t="s">
        <v>68</v>
      </c>
    </row>
    <row r="69" ht="16" customHeight="1" spans="1:19" x14ac:dyDescent="0.25">
      <c r="A69" s="75" t="s">
        <v>83</v>
      </c>
      <c r="B69" s="76">
        <f>+IFERROR(B68/$B$70,"n/a")</f>
        <v>0.6380108595407118</v>
      </c>
      <c r="D69" s="88"/>
      <c r="E69" s="89"/>
      <c r="F69" s="90">
        <f>+B76</f>
        <v>2095.80058689643</v>
      </c>
      <c r="G69" s="91">
        <v>-0.005</v>
      </c>
      <c r="H69" s="91">
        <f>+G69+0.25%</f>
        <v>-0.0025</v>
      </c>
      <c r="I69" s="92">
        <f>+H69+0.25%</f>
        <v>0</v>
      </c>
      <c r="J69" s="91">
        <f>+I69+0.25%</f>
        <v>0.0025</v>
      </c>
      <c r="K69" s="91">
        <f>+J69+0.25%</f>
        <v>0.005</v>
      </c>
      <c r="L69" s="27"/>
      <c r="M69" s="88"/>
      <c r="N69" s="89"/>
      <c r="O69" s="90">
        <f>+B76</f>
        <v>2095.80058689643</v>
      </c>
      <c r="P69" s="93">
        <v>1</v>
      </c>
      <c r="Q69" s="93">
        <v>2</v>
      </c>
      <c r="R69" s="93">
        <v>3</v>
      </c>
      <c r="S69" s="93">
        <v>4</v>
      </c>
    </row>
    <row r="70" ht="16" customHeight="1" spans="1:19" x14ac:dyDescent="0.25">
      <c r="A70" s="94" t="s">
        <v>88</v>
      </c>
      <c r="B70" s="95">
        <f>+B65/B66</f>
        <v>251496.07042757163</v>
      </c>
      <c r="D70" s="96"/>
      <c r="E70" s="97">
        <f>E71+F70</f>
        <v>0.08420000000000001</v>
      </c>
      <c r="F70" s="98">
        <v>-0.01</v>
      </c>
      <c r="G70" s="99">
        <v>254.08630642725765</v>
      </c>
      <c r="H70" s="99">
        <v>254.5081463014497</v>
      </c>
      <c r="I70" s="100">
        <v>254.92998617564172</v>
      </c>
      <c r="J70" s="99">
        <v>255.35182604983373</v>
      </c>
      <c r="K70" s="99">
        <v>255.77366592402572</v>
      </c>
      <c r="L70" s="99"/>
      <c r="M70" s="96"/>
      <c r="N70" s="97">
        <f>N71+O70</f>
        <v>0.08420000000000001</v>
      </c>
      <c r="O70" s="98">
        <v>-0.01</v>
      </c>
      <c r="P70" s="101">
        <v>328.09439420307325</v>
      </c>
      <c r="Q70" s="101">
        <v>254.92998617564172</v>
      </c>
      <c r="R70" s="101">
        <v>221.09831298880627</v>
      </c>
      <c r="S70" s="101">
        <v>254.92998617564172</v>
      </c>
    </row>
    <row r="71" ht="16" customHeight="1" spans="1:19" x14ac:dyDescent="0.25">
      <c r="A71" s="27" t="s">
        <v>89</v>
      </c>
      <c r="B71" s="102">
        <v>711.717</v>
      </c>
      <c r="D71" s="103" t="s">
        <v>23</v>
      </c>
      <c r="E71" s="97">
        <f>E72+F71</f>
        <v>0.0942</v>
      </c>
      <c r="F71" s="98">
        <f>+F70+0.5%</f>
        <v>-0.005</v>
      </c>
      <c r="G71" s="99">
        <v>229.40480636841153</v>
      </c>
      <c r="H71" s="99">
        <v>229.77142725741527</v>
      </c>
      <c r="I71" s="100">
        <v>230.13804814641898</v>
      </c>
      <c r="J71" s="99">
        <v>230.50466903542264</v>
      </c>
      <c r="K71" s="99">
        <v>230.87128992442635</v>
      </c>
      <c r="L71" s="27"/>
      <c r="M71" s="103" t="s">
        <v>23</v>
      </c>
      <c r="N71" s="97">
        <f>N72+O71</f>
        <v>0.0942</v>
      </c>
      <c r="O71" s="98">
        <f>+O70+0.5%</f>
        <v>-0.005</v>
      </c>
      <c r="P71" s="101">
        <v>302.02320337244413</v>
      </c>
      <c r="Q71" s="101">
        <v>230.13804814641898</v>
      </c>
      <c r="R71" s="101">
        <v>199.85051265556635</v>
      </c>
      <c r="S71" s="101">
        <v>230.13804814641898</v>
      </c>
    </row>
    <row r="72" ht="16" customHeight="1" spans="1:19" x14ac:dyDescent="0.25">
      <c r="A72" s="27" t="s">
        <v>90</v>
      </c>
      <c r="B72" s="102">
        <v>22361.565</v>
      </c>
      <c r="D72" s="96"/>
      <c r="E72" s="104">
        <f>+B9</f>
        <v>0.09920000000000001</v>
      </c>
      <c r="F72" s="105">
        <f>+F71+0.5%</f>
        <v>0</v>
      </c>
      <c r="G72" s="100">
        <v>208.93720122143546</v>
      </c>
      <c r="H72" s="100">
        <v>209.2586299555393</v>
      </c>
      <c r="I72" s="106">
        <v>209.580058689643</v>
      </c>
      <c r="J72" s="100">
        <v>209.9014874237468</v>
      </c>
      <c r="K72" s="100">
        <v>210.22291615785056</v>
      </c>
      <c r="L72" s="27"/>
      <c r="M72" s="96"/>
      <c r="N72" s="104">
        <f>+B9</f>
        <v>0.09920000000000001</v>
      </c>
      <c r="O72" s="105">
        <f>+O71+0.5%</f>
        <v>0</v>
      </c>
      <c r="P72" s="107">
        <v>274.400339757118</v>
      </c>
      <c r="Q72" s="107">
        <v>209.580058689643</v>
      </c>
      <c r="R72" s="107">
        <v>182.22463473717414</v>
      </c>
      <c r="S72" s="107">
        <v>209.580058689643</v>
      </c>
    </row>
    <row r="73" ht="16" customHeight="1" spans="1:19" x14ac:dyDescent="0.25">
      <c r="A73" s="94" t="s">
        <v>91</v>
      </c>
      <c r="B73" s="95">
        <f>+B70+B71-B72</f>
        <v>251496.07042757163</v>
      </c>
      <c r="D73" s="96"/>
      <c r="E73" s="97">
        <f>+E72+F73</f>
        <v>0.10420000000000001</v>
      </c>
      <c r="F73" s="98">
        <f>+F72+0.5%</f>
        <v>0.005</v>
      </c>
      <c r="G73" s="99">
        <v>191.6973393125771</v>
      </c>
      <c r="H73" s="99">
        <v>191.98122706548935</v>
      </c>
      <c r="I73" s="100">
        <v>192.2651148184015</v>
      </c>
      <c r="J73" s="99">
        <v>192.54900257131368</v>
      </c>
      <c r="K73" s="99">
        <v>192.8328903242258</v>
      </c>
      <c r="L73" s="27"/>
      <c r="M73" s="96"/>
      <c r="N73" s="97">
        <f>+N72+O73</f>
        <v>0.10420000000000001</v>
      </c>
      <c r="O73" s="98">
        <f>+O72+0.5%</f>
        <v>0.005</v>
      </c>
      <c r="P73" s="101">
        <v>251.1524559031328</v>
      </c>
      <c r="Q73" s="101">
        <v>192.2651148184015</v>
      </c>
      <c r="R73" s="101">
        <v>167.37326489079086</v>
      </c>
      <c r="S73" s="101">
        <v>192.2651148184015</v>
      </c>
    </row>
    <row r="74" ht="16" customHeight="1" spans="1:19" x14ac:dyDescent="0.25">
      <c r="A74" s="27" t="s">
        <v>92</v>
      </c>
      <c r="B74" s="102">
        <v>52.003</v>
      </c>
      <c r="D74" s="108"/>
      <c r="E74" s="109">
        <f>E72+F74</f>
        <v>0.1092</v>
      </c>
      <c r="F74" s="110">
        <f>+F73+0.5%</f>
        <v>0.01</v>
      </c>
      <c r="G74" s="99">
        <v>176.98414927228475</v>
      </c>
      <c r="H74" s="99">
        <v>177.23645985630623</v>
      </c>
      <c r="I74" s="100">
        <v>177.48877044032758</v>
      </c>
      <c r="J74" s="99">
        <v>177.74108102434897</v>
      </c>
      <c r="K74" s="99">
        <v>177.99339160837036</v>
      </c>
      <c r="M74" s="108"/>
      <c r="N74" s="109">
        <f>N72+O74</f>
        <v>0.1092</v>
      </c>
      <c r="O74" s="110">
        <f>+O73+0.5%</f>
        <v>0.01</v>
      </c>
      <c r="P74" s="101">
        <v>231.3285741832192</v>
      </c>
      <c r="Q74" s="101">
        <v>177.48877044032758</v>
      </c>
      <c r="R74" s="101">
        <v>154.69395408909605</v>
      </c>
      <c r="S74" s="101">
        <v>177.48877044032758</v>
      </c>
    </row>
    <row r="75" ht="16" customHeight="1" spans="1:19" x14ac:dyDescent="0.25">
      <c r="A75" s="27" t="s">
        <v>93</v>
      </c>
      <c r="B75" s="102">
        <v>1</v>
      </c>
      <c r="P75" s="8"/>
      <c r="Q75" s="8"/>
      <c r="R75" s="8"/>
      <c r="S75" s="8"/>
    </row>
    <row r="76" ht="16" customHeight="1" spans="1:19" x14ac:dyDescent="0.25">
      <c r="A76" s="27" t="s">
        <v>84</v>
      </c>
      <c r="B76" s="77">
        <f>+B73/B74/B75</f>
        <v>2095.80058689643</v>
      </c>
      <c r="D76" s="52" t="s">
        <v>94</v>
      </c>
      <c r="K76" s="27"/>
      <c r="M76" s="52" t="s">
        <v>94</v>
      </c>
      <c r="P76" s="8"/>
      <c r="Q76" s="8"/>
      <c r="R76" s="8"/>
      <c r="S76" s="8"/>
    </row>
    <row r="77" ht="16" customHeight="1" spans="1:19" x14ac:dyDescent="0.25">
      <c r="A77" s="27" t="s">
        <v>95</v>
      </c>
      <c r="B77" s="102">
        <v>85.5</v>
      </c>
      <c r="D77" s="78"/>
      <c r="E77" s="79"/>
      <c r="F77" s="80"/>
      <c r="G77" s="81"/>
      <c r="H77" s="80"/>
      <c r="I77" s="80" t="s">
        <v>85</v>
      </c>
      <c r="J77" s="81"/>
      <c r="K77" s="81"/>
      <c r="M77" s="78"/>
      <c r="N77" s="79"/>
      <c r="O77" s="80"/>
      <c r="P77" s="111"/>
      <c r="Q77" s="111" t="s">
        <v>86</v>
      </c>
      <c r="R77" s="111"/>
      <c r="S77" s="111"/>
    </row>
    <row r="78" ht="16" customHeight="1" spans="1:19" x14ac:dyDescent="0.25">
      <c r="A78" s="112" t="s">
        <v>43</v>
      </c>
      <c r="B78" s="113">
        <f>+B76/B77-1</f>
        <v>16.45046283843822</v>
      </c>
      <c r="D78" s="82"/>
      <c r="E78" s="83"/>
      <c r="F78" s="84"/>
      <c r="G78" s="85">
        <f>+G68</f>
        <v>0.035</v>
      </c>
      <c r="H78" s="85">
        <f t="shared" ref="H78:K78" si="101">+H68</f>
        <v>0.0375</v>
      </c>
      <c r="I78" s="85">
        <f t="shared" si="101"/>
        <v>0.04</v>
      </c>
      <c r="J78" s="85">
        <f t="shared" si="101"/>
        <v>0.0425</v>
      </c>
      <c r="K78" s="85">
        <f t="shared" si="101"/>
        <v>0.045</v>
      </c>
      <c r="M78" s="82"/>
      <c r="N78" s="83"/>
      <c r="O78" s="84"/>
      <c r="P78" s="87" t="s">
        <v>65</v>
      </c>
      <c r="Q78" s="87" t="s">
        <v>66</v>
      </c>
      <c r="R78" s="87" t="s">
        <v>67</v>
      </c>
      <c r="S78" s="87" t="s">
        <v>68</v>
      </c>
    </row>
    <row r="79" ht="16" customHeight="1" spans="4:19" x14ac:dyDescent="0.25">
      <c r="D79" s="88"/>
      <c r="E79" s="89"/>
      <c r="F79" s="90">
        <f>+B85</f>
        <v>0</v>
      </c>
      <c r="G79" s="91">
        <v>-0.005</v>
      </c>
      <c r="H79" s="91">
        <f>+G79+0.25%</f>
        <v>-0.0025</v>
      </c>
      <c r="I79" s="92">
        <f>+H79+0.25%</f>
        <v>0</v>
      </c>
      <c r="J79" s="91">
        <f>+I79+0.25%</f>
        <v>0.0025</v>
      </c>
      <c r="K79" s="91">
        <f>+J79+0.25%</f>
        <v>0.005</v>
      </c>
      <c r="M79" s="88"/>
      <c r="N79" s="89"/>
      <c r="O79" s="90">
        <f>+B86</f>
        <v>0</v>
      </c>
      <c r="P79" s="93">
        <v>1</v>
      </c>
      <c r="Q79" s="93">
        <v>2</v>
      </c>
      <c r="R79" s="93">
        <v>3</v>
      </c>
      <c r="S79" s="93">
        <v>4</v>
      </c>
    </row>
    <row r="80" ht="16" customHeight="1" spans="4:19" x14ac:dyDescent="0.25">
      <c r="D80" s="96"/>
      <c r="E80" s="97">
        <f>E81+F80</f>
        <v>0.08420000000000001</v>
      </c>
      <c r="F80" s="98">
        <v>-0.01</v>
      </c>
      <c r="G80" s="25">
        <f>+IFERROR(G70/$B$77-1,"n/a")</f>
        <v>1.1156228678372826</v>
      </c>
      <c r="H80" s="25">
        <f t="shared" ref="H80:K80" si="102">+IFERROR(H70/$B$77-1,"n/a")</f>
        <v>1.119135273117816</v>
      </c>
      <c r="I80" s="114">
        <f t="shared" si="102"/>
        <v>1.1226476783983492</v>
      </c>
      <c r="J80" s="25">
        <f t="shared" si="102"/>
        <v>1.126160083678882</v>
      </c>
      <c r="K80" s="25">
        <f t="shared" si="102"/>
        <v>1.129672488959415</v>
      </c>
      <c r="M80" s="96"/>
      <c r="N80" s="97">
        <f>N81+O80</f>
        <v>0.08420000000000001</v>
      </c>
      <c r="O80" s="98">
        <v>-0.01</v>
      </c>
      <c r="P80" s="25">
        <f>+IFERROR(P70/$B$77-1,"n/a")</f>
        <v>1.7318434155126834</v>
      </c>
      <c r="Q80" s="25">
        <f t="shared" ref="Q80:S80" si="103">+IFERROR(Q70/$B$77-1,"n/a")</f>
        <v>1.1226476783983492</v>
      </c>
      <c r="R80" s="25">
        <f t="shared" si="103"/>
        <v>0.840951815060835</v>
      </c>
      <c r="S80" s="25">
        <f t="shared" si="103"/>
        <v>1.1226476783983492</v>
      </c>
    </row>
    <row r="81" ht="16" customHeight="1" spans="4:19" x14ac:dyDescent="0.25">
      <c r="D81" s="103" t="s">
        <v>23</v>
      </c>
      <c r="E81" s="97">
        <f>E82+F81</f>
        <v>0.0942</v>
      </c>
      <c r="F81" s="98">
        <f>+F80+0.5%</f>
        <v>-0.005</v>
      </c>
      <c r="G81" s="25">
        <f t="shared" ref="G81:K81" si="104">+IFERROR(G71/$B$77-1,"n/a")</f>
        <v>0.9101149572723692</v>
      </c>
      <c r="H81" s="25">
        <f t="shared" si="104"/>
        <v>0.9131675874888865</v>
      </c>
      <c r="I81" s="114">
        <f t="shared" si="104"/>
        <v>0.9162202177054037</v>
      </c>
      <c r="J81" s="25">
        <f t="shared" si="104"/>
        <v>0.9192728479219205</v>
      </c>
      <c r="K81" s="25">
        <f t="shared" si="104"/>
        <v>0.9223254781384376</v>
      </c>
      <c r="M81" s="103" t="s">
        <v>23</v>
      </c>
      <c r="N81" s="97">
        <f>N82+O81</f>
        <v>0.0942</v>
      </c>
      <c r="O81" s="98">
        <f>+O80+0.5%</f>
        <v>-0.005</v>
      </c>
      <c r="P81" s="25">
        <f t="shared" ref="P81:S81" si="105">+IFERROR(P71/$B$77-1,"n/a")</f>
        <v>1.5147643911111084</v>
      </c>
      <c r="Q81" s="25">
        <f t="shared" si="105"/>
        <v>0.9162202177054037</v>
      </c>
      <c r="R81" s="25">
        <f t="shared" si="105"/>
        <v>0.6640342435933919</v>
      </c>
      <c r="S81" s="25">
        <f t="shared" si="105"/>
        <v>0.9162202177054037</v>
      </c>
    </row>
    <row r="82" ht="16" customHeight="1" spans="4:19" x14ac:dyDescent="0.25">
      <c r="D82" s="96"/>
      <c r="E82" s="104">
        <f>+B9</f>
        <v>0.09920000000000001</v>
      </c>
      <c r="F82" s="105">
        <f>+F81+0.5%</f>
        <v>0</v>
      </c>
      <c r="G82" s="114">
        <f t="shared" ref="G82:K82" si="106">+IFERROR(G72/$B$77-1,"n/a")</f>
        <v>0.739693598846257</v>
      </c>
      <c r="H82" s="114">
        <f t="shared" si="106"/>
        <v>0.7423699413450402</v>
      </c>
      <c r="I82" s="115">
        <f t="shared" si="106"/>
        <v>0.7450462838438219</v>
      </c>
      <c r="J82" s="114">
        <f t="shared" si="106"/>
        <v>0.7477226263426047</v>
      </c>
      <c r="K82" s="114">
        <f t="shared" si="106"/>
        <v>0.750398968841387</v>
      </c>
      <c r="M82" s="96"/>
      <c r="N82" s="104">
        <f>+B9</f>
        <v>0.09920000000000001</v>
      </c>
      <c r="O82" s="105">
        <f>+O81+0.5%</f>
        <v>0</v>
      </c>
      <c r="P82" s="114">
        <f t="shared" ref="P82:S82" si="107">+IFERROR(P72/$B$77-1,"n/a")</f>
        <v>1.2847655267037301</v>
      </c>
      <c r="Q82" s="114">
        <f t="shared" si="107"/>
        <v>0.7450462838438219</v>
      </c>
      <c r="R82" s="114">
        <f t="shared" si="107"/>
        <v>0.5172742276201012</v>
      </c>
      <c r="S82" s="114">
        <f t="shared" si="107"/>
        <v>0.7450462838438219</v>
      </c>
    </row>
    <row r="83" ht="16" customHeight="1" spans="4:19" x14ac:dyDescent="0.25">
      <c r="D83" s="96"/>
      <c r="E83" s="97">
        <f>+E82+F83</f>
        <v>0.10420000000000001</v>
      </c>
      <c r="F83" s="98">
        <f>+F82+0.5%</f>
        <v>0.005</v>
      </c>
      <c r="G83" s="25">
        <f t="shared" ref="G83:K83" si="108">+IFERROR(G73/$B$77-1,"n/a")</f>
        <v>0.596147704517711</v>
      </c>
      <c r="H83" s="25">
        <f t="shared" si="108"/>
        <v>0.5985114659907524</v>
      </c>
      <c r="I83" s="114">
        <f t="shared" si="108"/>
        <v>0.600875227463793</v>
      </c>
      <c r="J83" s="25">
        <f t="shared" si="108"/>
        <v>0.6032389889368335</v>
      </c>
      <c r="K83" s="25">
        <f t="shared" si="108"/>
        <v>0.6056027504098733</v>
      </c>
      <c r="M83" s="96"/>
      <c r="N83" s="97">
        <f>+N82+O83</f>
        <v>0.10420000000000001</v>
      </c>
      <c r="O83" s="98">
        <f>+O82+0.5%</f>
        <v>0.005</v>
      </c>
      <c r="P83" s="25">
        <f t="shared" ref="P83:S83" si="109">+IFERROR(P73/$B$77-1,"n/a")</f>
        <v>1.091194470467384</v>
      </c>
      <c r="Q83" s="25">
        <f t="shared" si="109"/>
        <v>0.600875227463793</v>
      </c>
      <c r="R83" s="25">
        <f t="shared" si="109"/>
        <v>0.3936158608725302</v>
      </c>
      <c r="S83" s="25">
        <f t="shared" si="109"/>
        <v>0.600875227463793</v>
      </c>
    </row>
    <row r="84" ht="16" customHeight="1" spans="4:19" x14ac:dyDescent="0.25">
      <c r="D84" s="108"/>
      <c r="E84" s="109">
        <f>E82+F84</f>
        <v>0.1092</v>
      </c>
      <c r="F84" s="110">
        <f>+F83+0.5%</f>
        <v>0.01</v>
      </c>
      <c r="G84" s="25">
        <f t="shared" ref="G84:K84" si="110">+IFERROR(G74/$B$77-1,"n/a")</f>
        <v>0.47363987737123026</v>
      </c>
      <c r="H84" s="25">
        <f t="shared" si="110"/>
        <v>0.4757407148734907</v>
      </c>
      <c r="I84" s="114">
        <f t="shared" si="110"/>
        <v>0.4778415523757502</v>
      </c>
      <c r="J84" s="25">
        <f t="shared" si="110"/>
        <v>0.47994238987800975</v>
      </c>
      <c r="K84" s="25">
        <f t="shared" si="110"/>
        <v>0.4820432273802695</v>
      </c>
      <c r="M84" s="108"/>
      <c r="N84" s="109">
        <f>N82+O84</f>
        <v>0.1092</v>
      </c>
      <c r="O84" s="110">
        <f>+O83+0.5%</f>
        <v>0.01</v>
      </c>
      <c r="P84" s="25">
        <f t="shared" ref="P84:S84" si="111">+IFERROR(P74/$B$77-1,"n/a")</f>
        <v>0.9261330073540317</v>
      </c>
      <c r="Q84" s="25">
        <f t="shared" si="111"/>
        <v>0.4778415523757502</v>
      </c>
      <c r="R84" s="25">
        <f t="shared" si="111"/>
        <v>0.2880429149799839</v>
      </c>
      <c r="S84" s="25">
        <f t="shared" si="111"/>
        <v>0.4778415523757502</v>
      </c>
    </row>
    <row r="86" ht="16" customHeight="1" spans="1:19" x14ac:dyDescent="0.25">
      <c r="A86" s="11" t="s">
        <v>96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</sheetData>
  <hyperlinks>
    <hyperlink ref="A71" r:id="rId1"/>
    <hyperlink ref="A73" r:id="rId2"/>
    <hyperlink ref="A76" r:id="rId3"/>
  </hyperlinks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 showGridLines="0" zoomScale="75" zoomScaleNormal="100">
      <pane xSplit="1" ySplit="5" topLeftCell="B6" activePane="bottomRight" state="frozen"/>
      <selection pane="bottomRight" activeCell="A29" sqref="A29"/>
    </sheetView>
  </sheetViews>
  <sheetFormatPr defaultRowHeight="16" outlineLevelRow="0" outlineLevelCol="0" x14ac:dyDescent="0.2" defaultColWidth="8.83203125" customHeight="1"/>
  <cols>
    <col min="1" max="1" width="78.1640625" customWidth="1"/>
    <col min="2" max="2" width="13.6640625" style="8" customWidth="1"/>
    <col min="3" max="16384" width="8.83203125" customWidth="1"/>
  </cols>
  <sheetData>
    <row r="1" ht="51" customHeight="1" x14ac:dyDescent="0.25"/>
    <row r="3" ht="20" customHeight="1" spans="1:2" s="9" customFormat="1" x14ac:dyDescent="0.25">
      <c r="A3" s="10" t="s">
        <v>11</v>
      </c>
      <c r="B3" s="10"/>
    </row>
    <row r="4" ht="17" customHeight="1" x14ac:dyDescent="0.25"/>
    <row r="5" ht="19" customHeight="1" spans="1:2" x14ac:dyDescent="0.25">
      <c r="A5" s="11" t="s">
        <v>12</v>
      </c>
      <c r="B5" s="12"/>
    </row>
    <row r="6" ht="19" customHeight="1" spans="1:2" x14ac:dyDescent="0.25">
      <c r="A6" s="13" t="s">
        <v>13</v>
      </c>
      <c r="B6" s="13" t="s">
        <v>14</v>
      </c>
    </row>
    <row r="7" ht="19" customHeight="1" spans="1:1" x14ac:dyDescent="0.25">
      <c r="A7" t="s">
        <v>15</v>
      </c>
    </row>
    <row r="8" ht="19" customHeight="1" spans="1:2" x14ac:dyDescent="0.25">
      <c r="A8" s="14" t="s">
        <v>16</v>
      </c>
      <c r="B8" s="15">
        <v>1.2</v>
      </c>
    </row>
    <row r="9" ht="19" customHeight="1" spans="1:2" x14ac:dyDescent="0.25">
      <c r="A9" s="14" t="s">
        <v>17</v>
      </c>
      <c r="B9" s="15">
        <v>0.9</v>
      </c>
    </row>
    <row r="11" spans="1:1" x14ac:dyDescent="0.25">
      <c r="A11" t="s">
        <v>18</v>
      </c>
    </row>
    <row r="12" spans="1:2" x14ac:dyDescent="0.25">
      <c r="A12" s="14" t="s">
        <v>16</v>
      </c>
      <c r="B12" s="16">
        <v>0.02</v>
      </c>
    </row>
    <row r="13" spans="1:2" x14ac:dyDescent="0.25">
      <c r="A13" s="14" t="s">
        <v>17</v>
      </c>
      <c r="B13" s="16">
        <v>-0.01</v>
      </c>
    </row>
    <row r="14" spans="1:1" x14ac:dyDescent="0.25">
      <c r="A14" s="14"/>
    </row>
    <row r="15" spans="1:1" x14ac:dyDescent="0.25">
      <c r="A15" t="s">
        <v>19</v>
      </c>
    </row>
    <row r="16" spans="1:2" x14ac:dyDescent="0.25">
      <c r="A16" s="14" t="s">
        <v>16</v>
      </c>
      <c r="B16" s="16">
        <v>0</v>
      </c>
    </row>
    <row r="17" spans="1:2" x14ac:dyDescent="0.25">
      <c r="A17" s="14" t="s">
        <v>17</v>
      </c>
      <c r="B17" s="16">
        <v>0</v>
      </c>
    </row>
    <row r="18" spans="1:1" x14ac:dyDescent="0.25">
      <c r="A18" s="14"/>
    </row>
    <row r="19" spans="1:1" x14ac:dyDescent="0.25">
      <c r="A19" t="s">
        <v>20</v>
      </c>
    </row>
    <row r="20" spans="1:2" x14ac:dyDescent="0.25">
      <c r="A20" s="14" t="s">
        <v>16</v>
      </c>
      <c r="B20" s="16">
        <v>0</v>
      </c>
    </row>
    <row r="21" spans="1:2" x14ac:dyDescent="0.25">
      <c r="A21" s="14" t="s">
        <v>17</v>
      </c>
      <c r="B21" s="16">
        <v>0</v>
      </c>
    </row>
    <row r="22" spans="1:1" x14ac:dyDescent="0.25">
      <c r="A22" s="14"/>
    </row>
    <row r="23" spans="1:1" x14ac:dyDescent="0.25">
      <c r="A23" t="s">
        <v>21</v>
      </c>
    </row>
    <row r="24" spans="1:2" x14ac:dyDescent="0.25">
      <c r="A24" s="14" t="s">
        <v>16</v>
      </c>
      <c r="B24" s="16">
        <v>0</v>
      </c>
    </row>
    <row r="25" spans="1:2" x14ac:dyDescent="0.25">
      <c r="A25" s="14" t="s">
        <v>17</v>
      </c>
      <c r="B25" s="16">
        <v>0</v>
      </c>
    </row>
    <row r="26" spans="1:1" x14ac:dyDescent="0.25">
      <c r="A26" s="14"/>
    </row>
    <row r="27" ht="19" customHeight="1" spans="1:2" x14ac:dyDescent="0.25">
      <c r="A27" s="13" t="s">
        <v>22</v>
      </c>
      <c r="B27" s="13" t="s">
        <v>14</v>
      </c>
    </row>
    <row r="28" ht="20" customHeight="1" spans="1:2" x14ac:dyDescent="0.25">
      <c r="A28" t="s">
        <v>23</v>
      </c>
      <c r="B28" s="17">
        <f>+'WACC &amp; Cost of Equity'!B25</f>
        <v>0.09920000000000001</v>
      </c>
    </row>
    <row r="29" ht="19" customHeight="1" spans="1:2" x14ac:dyDescent="0.25">
      <c r="A29" t="s">
        <v>24</v>
      </c>
      <c r="B29" s="18">
        <v>0.02</v>
      </c>
    </row>
    <row r="30" ht="15" customHeight="1" spans="1:2" x14ac:dyDescent="0.25">
      <c r="A30" t="s">
        <v>14</v>
      </c>
      <c r="B30" s="19" t="s">
        <v>14</v>
      </c>
    </row>
    <row r="31" ht="16" customHeight="1" spans="1:2" x14ac:dyDescent="0.25">
      <c r="A31" s="13" t="s">
        <v>25</v>
      </c>
      <c r="B31" s="13" t="s">
        <v>14</v>
      </c>
    </row>
    <row r="32" ht="16" customHeight="1" spans="1:2" x14ac:dyDescent="0.25">
      <c r="A32" t="s">
        <v>26</v>
      </c>
      <c r="B32" s="18">
        <v>0.7</v>
      </c>
    </row>
    <row r="33" ht="16" customHeight="1" spans="1:2" x14ac:dyDescent="0.25">
      <c r="A33" t="s">
        <v>27</v>
      </c>
      <c r="B33" s="17">
        <f>MAX(1-B32,0%)</f>
        <v>0.30000000000000004</v>
      </c>
    </row>
    <row r="35" ht="16" customHeight="1" spans="2:2" x14ac:dyDescent="0.25"/>
    <row r="36" ht="16" customHeight="1" spans="2:2" x14ac:dyDescent="0.25"/>
    <row r="37" ht="16" customHeight="1" spans="2:2" x14ac:dyDescent="0.25"/>
  </sheetData>
  <pageMargins left="0.7" right="0.7" top="0.75" bottom="0.75" header="0.3" footer="0.3"/>
  <pageSetup paperSize="9" orientation="portrait" horizontalDpi="0" verticalDpi="0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showGridLines="0" zoomScale="85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78.1640625" customWidth="1"/>
    <col min="2" max="2" width="13.6640625" style="8" customWidth="1"/>
  </cols>
  <sheetData>
    <row r="1" ht="51" customHeight="1" x14ac:dyDescent="0.25"/>
    <row r="3" ht="20" customHeight="1" spans="1:2" s="9" customFormat="1" x14ac:dyDescent="0.25">
      <c r="A3" s="10" t="s">
        <v>97</v>
      </c>
      <c r="B3" s="10"/>
    </row>
    <row r="4" ht="17" customHeight="1" x14ac:dyDescent="0.25"/>
    <row r="5" ht="19" customHeight="1" spans="1:2" x14ac:dyDescent="0.25">
      <c r="A5" s="11" t="s">
        <v>12</v>
      </c>
      <c r="B5" s="12" t="s">
        <v>98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 showGridLines="0" zoomScale="75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52.33203125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99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20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20" customHeight="1" spans="1:17" x14ac:dyDescent="0.25">
      <c r="A6" s="13" t="s">
        <v>63</v>
      </c>
      <c r="B6" s="35">
        <v>69.229</v>
      </c>
      <c r="C6" s="35">
        <v>76.659</v>
      </c>
      <c r="D6" s="35">
        <v>272.965</v>
      </c>
      <c r="E6" s="35">
        <v>405.614</v>
      </c>
      <c r="F6" s="35">
        <v>526.877</v>
      </c>
      <c r="G6" s="35">
        <v>778.067</v>
      </c>
      <c r="H6" s="35">
        <v>1013.946</v>
      </c>
      <c r="I6" s="35">
        <v>1080.515</v>
      </c>
      <c r="J6" s="35">
        <v>1137.394</v>
      </c>
      <c r="K6" s="35">
        <v>1679.711</v>
      </c>
      <c r="L6" s="35">
        <v>3952.631</v>
      </c>
      <c r="M6" s="35">
        <v>3558.761</v>
      </c>
      <c r="N6" s="35">
        <v>2321.417</v>
      </c>
      <c r="O6" s="35">
        <v>2039.121</v>
      </c>
      <c r="P6" s="35">
        <v>1593.731</v>
      </c>
      <c r="Q6" s="35">
        <v>4363.825</v>
      </c>
    </row>
    <row r="7" ht="20" customHeight="1" spans="1:17" s="45" customFormat="1" x14ac:dyDescent="0.25">
      <c r="A7" s="46" t="s">
        <v>64</v>
      </c>
      <c r="B7" s="45"/>
      <c r="C7" s="45">
        <v>0.10732496497132704</v>
      </c>
      <c r="D7" s="45">
        <v>2.5607691203903</v>
      </c>
      <c r="E7" s="45">
        <v>0.48595607495466453</v>
      </c>
      <c r="F7" s="45">
        <v>0.29896157430463455</v>
      </c>
      <c r="G7" s="45">
        <v>0.4767526386613954</v>
      </c>
      <c r="H7" s="45">
        <v>0.30316026768902926</v>
      </c>
      <c r="I7" s="45">
        <v>0.06565339771546008</v>
      </c>
      <c r="J7" s="45">
        <v>0.052640638954572605</v>
      </c>
      <c r="K7" s="45">
        <v>0.47680662989254374</v>
      </c>
      <c r="L7" s="45">
        <v>1.3531613473984514</v>
      </c>
      <c r="M7" s="45">
        <v>-0.09964755121335633</v>
      </c>
      <c r="N7" s="45">
        <v>-0.34768954700807386</v>
      </c>
      <c r="O7" s="45">
        <v>-0.12160503692356861</v>
      </c>
      <c r="P7" s="45">
        <v>-0.21842254579301568</v>
      </c>
      <c r="Q7" s="45">
        <v>1.7381189171823852</v>
      </c>
    </row>
    <row r="8" ht="20" customHeight="1" spans="1:17" x14ac:dyDescent="0.25">
      <c r="A8" s="116" t="s">
        <v>111</v>
      </c>
      <c r="B8" s="117">
        <v>28.519</v>
      </c>
      <c r="C8" s="117">
        <v>34.532</v>
      </c>
      <c r="D8" s="117">
        <v>75.774</v>
      </c>
      <c r="E8" s="117">
        <v>134.708</v>
      </c>
      <c r="F8" s="117">
        <v>213.669</v>
      </c>
      <c r="G8" s="117">
        <v>320.184</v>
      </c>
      <c r="H8" s="117">
        <v>425.829</v>
      </c>
      <c r="I8" s="117">
        <v>512.355</v>
      </c>
      <c r="J8" s="117">
        <v>565.849</v>
      </c>
      <c r="K8" s="117">
        <v>788.001</v>
      </c>
      <c r="L8" s="117">
        <v>1185.388</v>
      </c>
      <c r="M8" s="117">
        <v>1425.51</v>
      </c>
      <c r="N8" s="117">
        <v>1014.456</v>
      </c>
      <c r="O8" s="117">
        <v>1191.655</v>
      </c>
      <c r="P8" s="117">
        <v>37.992</v>
      </c>
      <c r="Q8" s="117">
        <v>374.616</v>
      </c>
    </row>
    <row r="9" ht="20" customHeight="1" spans="1:17" s="52" customFormat="1" x14ac:dyDescent="0.25">
      <c r="A9" s="13" t="s">
        <v>112</v>
      </c>
      <c r="B9" s="35">
        <v>40.71</v>
      </c>
      <c r="C9" s="35">
        <v>42.127</v>
      </c>
      <c r="D9" s="35">
        <v>197.191</v>
      </c>
      <c r="E9" s="35">
        <v>270.906</v>
      </c>
      <c r="F9" s="35">
        <v>313.208</v>
      </c>
      <c r="G9" s="35">
        <v>457.883</v>
      </c>
      <c r="H9" s="35">
        <v>588.117</v>
      </c>
      <c r="I9" s="35">
        <v>568.16</v>
      </c>
      <c r="J9" s="35">
        <v>571.545</v>
      </c>
      <c r="K9" s="35">
        <v>891.71</v>
      </c>
      <c r="L9" s="35">
        <v>2767.243</v>
      </c>
      <c r="M9" s="35">
        <v>2133.251</v>
      </c>
      <c r="N9" s="35">
        <v>1306.961</v>
      </c>
      <c r="O9" s="35">
        <v>847.466</v>
      </c>
      <c r="P9" s="35">
        <v>1555.739</v>
      </c>
      <c r="Q9" s="35">
        <v>3989.209</v>
      </c>
    </row>
    <row r="10" ht="20" customHeight="1" spans="1:17" s="45" customFormat="1" x14ac:dyDescent="0.25">
      <c r="A10" s="118" t="s">
        <v>70</v>
      </c>
      <c r="B10" s="119">
        <v>0.5880483612358982</v>
      </c>
      <c r="C10" s="119">
        <v>0.5495375624518973</v>
      </c>
      <c r="D10" s="119">
        <v>0.7224039712050996</v>
      </c>
      <c r="E10" s="119">
        <v>0.6678911477414488</v>
      </c>
      <c r="F10" s="119">
        <v>0.5944613258882054</v>
      </c>
      <c r="G10" s="119">
        <v>0.5884878808637303</v>
      </c>
      <c r="H10" s="119">
        <v>0.5800279304815049</v>
      </c>
      <c r="I10" s="119">
        <v>0.5258233342433932</v>
      </c>
      <c r="J10" s="119">
        <v>0.5025039696006837</v>
      </c>
      <c r="K10" s="119">
        <v>0.5308710843710615</v>
      </c>
      <c r="L10" s="119">
        <v>0.7001015273118083</v>
      </c>
      <c r="M10" s="119">
        <v>0.5994364330731959</v>
      </c>
      <c r="N10" s="119">
        <v>0.5630013909607796</v>
      </c>
      <c r="O10" s="119">
        <v>0.4156035860549717</v>
      </c>
      <c r="P10" s="119">
        <v>0.9761615981617977</v>
      </c>
      <c r="Q10" s="119">
        <v>0.9141542110419185</v>
      </c>
    </row>
    <row r="11" ht="20" customHeight="1" spans="1:2" s="120" customFormat="1" x14ac:dyDescent="0.25">
      <c r="A11" s="121"/>
      <c r="B11" s="122"/>
    </row>
    <row r="12" ht="20" customHeight="1" spans="1:17" x14ac:dyDescent="0.25">
      <c r="A12" t="s">
        <v>113</v>
      </c>
      <c r="B12" s="49">
        <v>7.668</v>
      </c>
      <c r="C12" s="49">
        <v>27.428</v>
      </c>
      <c r="D12" s="49">
        <v>78.868</v>
      </c>
      <c r="E12" s="49">
        <v>88.78</v>
      </c>
      <c r="F12" s="49">
        <v>90.175</v>
      </c>
      <c r="G12" s="49">
        <v>178.69</v>
      </c>
      <c r="H12" s="49">
        <v>205.034</v>
      </c>
      <c r="I12" s="49">
        <v>232.251</v>
      </c>
      <c r="J12" s="49">
        <v>303.848</v>
      </c>
      <c r="K12" s="49">
        <v>362.266</v>
      </c>
      <c r="L12" s="49">
        <v>526.447</v>
      </c>
      <c r="M12" s="49">
        <v>773.916</v>
      </c>
      <c r="N12" s="49">
        <v>618.268</v>
      </c>
      <c r="O12" s="49">
        <v>493.428</v>
      </c>
      <c r="P12" s="49">
        <v>654.707</v>
      </c>
      <c r="Q12" s="49">
        <v>2477.237</v>
      </c>
    </row>
    <row r="13" ht="20" customHeight="1" spans="1:17" x14ac:dyDescent="0.25">
      <c r="A13" s="123" t="s">
        <v>114</v>
      </c>
      <c r="B13" s="49">
        <v>0</v>
      </c>
      <c r="C13" s="49">
        <v>0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149.547</v>
      </c>
      <c r="Q13" s="49">
        <v>0</v>
      </c>
    </row>
    <row r="14" ht="20" customHeight="1" spans="1:17" x14ac:dyDescent="0.25">
      <c r="A14" s="124" t="s">
        <v>115</v>
      </c>
      <c r="B14" s="117">
        <v>3.182</v>
      </c>
      <c r="C14" s="117">
        <v>19.877</v>
      </c>
      <c r="D14" s="117">
        <v>59.257</v>
      </c>
      <c r="E14" s="117">
        <v>41.958</v>
      </c>
      <c r="F14" s="117">
        <v>63.376</v>
      </c>
      <c r="G14" s="117">
        <v>107.93</v>
      </c>
      <c r="H14" s="117">
        <v>135.228</v>
      </c>
      <c r="I14" s="117">
        <v>127.079</v>
      </c>
      <c r="J14" s="117">
        <v>150.592</v>
      </c>
      <c r="K14" s="117">
        <v>215.914</v>
      </c>
      <c r="L14" s="117">
        <v>322.507</v>
      </c>
      <c r="M14" s="117">
        <v>461.244</v>
      </c>
      <c r="N14" s="117">
        <v>338.169</v>
      </c>
      <c r="O14" s="117">
        <v>238.082</v>
      </c>
      <c r="P14" s="117">
        <v>654.707</v>
      </c>
      <c r="Q14" s="117">
        <v>829.056</v>
      </c>
    </row>
    <row r="15" ht="20" customHeight="1" spans="1:17" x14ac:dyDescent="0.25">
      <c r="A15" s="13" t="s">
        <v>116</v>
      </c>
      <c r="B15" s="35">
        <v>33.042</v>
      </c>
      <c r="C15" s="35">
        <v>14.699</v>
      </c>
      <c r="D15" s="35">
        <v>118.323</v>
      </c>
      <c r="E15" s="35">
        <v>182.126</v>
      </c>
      <c r="F15" s="35">
        <v>223.033</v>
      </c>
      <c r="G15" s="35">
        <v>279.193</v>
      </c>
      <c r="H15" s="35">
        <v>383.083</v>
      </c>
      <c r="I15" s="35">
        <v>335.909</v>
      </c>
      <c r="J15" s="35">
        <v>267.697</v>
      </c>
      <c r="K15" s="35">
        <v>529.444</v>
      </c>
      <c r="L15" s="35">
        <v>2240.796</v>
      </c>
      <c r="M15" s="35">
        <v>1359.335</v>
      </c>
      <c r="N15" s="35">
        <v>688.693</v>
      </c>
      <c r="O15" s="35">
        <v>354.038</v>
      </c>
      <c r="P15" s="35">
        <v>901.032</v>
      </c>
      <c r="Q15" s="35">
        <v>1511.972</v>
      </c>
    </row>
    <row r="16" ht="20" customHeight="1" spans="1:17" s="45" customFormat="1" x14ac:dyDescent="0.25">
      <c r="A16" s="118" t="s">
        <v>70</v>
      </c>
      <c r="B16" s="119">
        <v>0.4772855306302272</v>
      </c>
      <c r="C16" s="119">
        <v>0.19174526148267002</v>
      </c>
      <c r="D16" s="119">
        <v>0.43347315589910795</v>
      </c>
      <c r="E16" s="119">
        <v>0.4490131011257008</v>
      </c>
      <c r="F16" s="119">
        <v>0.42331132313613995</v>
      </c>
      <c r="G16" s="119">
        <v>0.35882899544640756</v>
      </c>
      <c r="H16" s="119">
        <v>0.3778140058740801</v>
      </c>
      <c r="I16" s="119">
        <v>0.31087860881153895</v>
      </c>
      <c r="J16" s="119">
        <v>0.23535995442212637</v>
      </c>
      <c r="K16" s="119">
        <v>0.31519945990709114</v>
      </c>
      <c r="L16" s="119">
        <v>0.5669125197874529</v>
      </c>
      <c r="M16" s="119">
        <v>0.381968612109664</v>
      </c>
      <c r="N16" s="119">
        <v>0.29666923262817496</v>
      </c>
      <c r="O16" s="119">
        <v>0.17362285023792115</v>
      </c>
      <c r="P16" s="119">
        <v>0.5653601517445541</v>
      </c>
      <c r="Q16" s="119">
        <v>0.3464786053519561</v>
      </c>
    </row>
    <row r="17" ht="20" customHeight="1" spans="1:17" x14ac:dyDescent="0.25">
      <c r="A17" t="s">
        <v>117</v>
      </c>
      <c r="B17" s="49">
        <v>0</v>
      </c>
      <c r="C17" s="49">
        <v>1.532</v>
      </c>
      <c r="D17" s="49">
        <v>0</v>
      </c>
      <c r="E17" s="49">
        <v>15.632</v>
      </c>
      <c r="F17" s="49">
        <v>27.771</v>
      </c>
      <c r="G17" s="49">
        <v>49.155</v>
      </c>
      <c r="H17" s="49">
        <v>0</v>
      </c>
      <c r="I17" s="49">
        <v>143.179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793.566</v>
      </c>
      <c r="Q17" s="49">
        <v>924.447</v>
      </c>
    </row>
    <row r="18" ht="20" customHeight="1" spans="1:17" x14ac:dyDescent="0.25">
      <c r="A18" t="s">
        <v>118</v>
      </c>
      <c r="B18" s="49">
        <v>0.79</v>
      </c>
      <c r="C18" s="49">
        <v>1.875</v>
      </c>
      <c r="D18" s="49">
        <v>7.879</v>
      </c>
      <c r="E18" s="49">
        <v>16.673</v>
      </c>
      <c r="F18" s="49">
        <v>37.257</v>
      </c>
      <c r="G18" s="49">
        <v>68.537</v>
      </c>
      <c r="H18" s="49">
        <v>106.206</v>
      </c>
      <c r="I18" s="49">
        <v>144.52</v>
      </c>
      <c r="J18" s="49">
        <v>144.597</v>
      </c>
      <c r="K18" s="49">
        <v>0</v>
      </c>
      <c r="L18" s="49">
        <v>0</v>
      </c>
      <c r="M18" s="49">
        <v>0</v>
      </c>
      <c r="N18" s="49">
        <v>0</v>
      </c>
      <c r="O18" s="49">
        <v>0</v>
      </c>
      <c r="P18" s="49">
        <v>819.348</v>
      </c>
      <c r="Q18" s="49">
        <v>960.555</v>
      </c>
    </row>
    <row r="19" ht="20" customHeight="1" spans="1:17" x14ac:dyDescent="0.25">
      <c r="A19" t="s">
        <v>119</v>
      </c>
      <c r="B19" s="49">
        <v>33.042</v>
      </c>
      <c r="C19" s="49">
        <v>14.699</v>
      </c>
      <c r="D19" s="49">
        <v>118.323</v>
      </c>
      <c r="E19" s="49">
        <v>182.126</v>
      </c>
      <c r="F19" s="49">
        <v>223.033</v>
      </c>
      <c r="G19" s="49">
        <v>279.193</v>
      </c>
      <c r="H19" s="49">
        <v>383.083</v>
      </c>
      <c r="I19" s="49">
        <v>335.909</v>
      </c>
      <c r="J19" s="49">
        <v>267.697</v>
      </c>
      <c r="K19" s="49">
        <v>529.444</v>
      </c>
      <c r="L19" s="49">
        <v>2240.609</v>
      </c>
      <c r="M19" s="49">
        <v>1359.183</v>
      </c>
      <c r="N19" s="49">
        <v>665.247</v>
      </c>
      <c r="O19" s="49">
        <v>183.631</v>
      </c>
      <c r="P19" s="49">
        <v>401.026</v>
      </c>
      <c r="Q19" s="49">
        <v>551.417</v>
      </c>
    </row>
    <row r="20" ht="20" customHeight="1" spans="1:17" x14ac:dyDescent="0.25">
      <c r="A20" t="s">
        <v>120</v>
      </c>
      <c r="B20" s="49">
        <v>0</v>
      </c>
      <c r="C20" s="49">
        <v>0</v>
      </c>
      <c r="D20" s="49">
        <v>0</v>
      </c>
      <c r="E20" s="49">
        <v>9.961</v>
      </c>
      <c r="F20" s="49">
        <v>26.722</v>
      </c>
      <c r="G20" s="49">
        <v>31.635</v>
      </c>
      <c r="H20" s="49">
        <v>46.103</v>
      </c>
      <c r="I20" s="49">
        <v>24.387</v>
      </c>
      <c r="J20" s="49">
        <v>23.254</v>
      </c>
      <c r="K20" s="49">
        <v>136.479</v>
      </c>
      <c r="L20" s="49">
        <v>593.725</v>
      </c>
      <c r="M20" s="49">
        <v>355.693</v>
      </c>
      <c r="N20" s="49">
        <v>189.74</v>
      </c>
      <c r="O20" s="49">
        <v>38.975</v>
      </c>
      <c r="P20" s="49">
        <v>89.603</v>
      </c>
      <c r="Q20" s="49">
        <v>50.34</v>
      </c>
    </row>
    <row r="21" ht="20" customHeight="1" spans="1:17" s="45" customFormat="1" x14ac:dyDescent="0.25">
      <c r="A21" s="56" t="s">
        <v>72</v>
      </c>
      <c r="B21" s="125">
        <v>0</v>
      </c>
      <c r="C21" s="125">
        <v>0</v>
      </c>
      <c r="D21" s="125">
        <v>0</v>
      </c>
      <c r="E21" s="125">
        <v>0.05469290491198401</v>
      </c>
      <c r="F21" s="125">
        <v>0.11981186640541983</v>
      </c>
      <c r="G21" s="125">
        <v>0.11330871476004055</v>
      </c>
      <c r="H21" s="125">
        <v>0.12034728766350895</v>
      </c>
      <c r="I21" s="125">
        <v>0.07260001964817853</v>
      </c>
      <c r="J21" s="125">
        <v>0.08686686813823091</v>
      </c>
      <c r="K21" s="125">
        <v>0.2577779708524414</v>
      </c>
      <c r="L21" s="125">
        <v>0.2649837611113764</v>
      </c>
      <c r="M21" s="125">
        <v>0.2616961807203298</v>
      </c>
      <c r="N21" s="125">
        <v>0.28521737039024603</v>
      </c>
      <c r="O21" s="125">
        <v>0.21224629828296965</v>
      </c>
      <c r="P21" s="125">
        <v>0.22343439078762972</v>
      </c>
      <c r="Q21" s="125">
        <v>0.09129207115486102</v>
      </c>
    </row>
    <row r="22" ht="20" customHeight="1" spans="1:17" x14ac:dyDescent="0.25">
      <c r="A22" s="13" t="s">
        <v>121</v>
      </c>
      <c r="B22" s="35">
        <v>33.042</v>
      </c>
      <c r="C22" s="35">
        <v>14.699</v>
      </c>
      <c r="D22" s="35">
        <v>118.323</v>
      </c>
      <c r="E22" s="35">
        <v>14.4</v>
      </c>
      <c r="F22" s="35">
        <v>36.842</v>
      </c>
      <c r="G22" s="35">
        <v>47.228</v>
      </c>
      <c r="H22" s="35">
        <v>66.079</v>
      </c>
      <c r="I22" s="35">
        <v>100.757</v>
      </c>
      <c r="J22" s="35">
        <v>87.694</v>
      </c>
      <c r="K22" s="35">
        <v>392.965</v>
      </c>
      <c r="L22" s="35">
        <v>1646.884</v>
      </c>
      <c r="M22" s="35">
        <v>1003.49</v>
      </c>
      <c r="N22" s="35">
        <v>475.507</v>
      </c>
      <c r="O22" s="35">
        <v>144.656</v>
      </c>
      <c r="P22" s="35">
        <v>311.423</v>
      </c>
      <c r="Q22" s="35">
        <v>501.077</v>
      </c>
    </row>
    <row r="23" ht="20" customHeight="1" spans="1:17" s="45" customFormat="1" x14ac:dyDescent="0.25">
      <c r="A23" s="63" t="s">
        <v>70</v>
      </c>
      <c r="B23" s="64">
        <v>0.4772855306302272</v>
      </c>
      <c r="C23" s="64">
        <v>0.19174526148267002</v>
      </c>
      <c r="D23" s="64">
        <v>0.43347315589910795</v>
      </c>
      <c r="E23" s="64">
        <v>0.035501733174890415</v>
      </c>
      <c r="F23" s="64">
        <v>0.06992523871795504</v>
      </c>
      <c r="G23" s="64">
        <v>0.06069914287587059</v>
      </c>
      <c r="H23" s="64">
        <v>0.06517013726569265</v>
      </c>
      <c r="I23" s="64">
        <v>0.09324905253513371</v>
      </c>
      <c r="J23" s="64">
        <v>0.0771008111525118</v>
      </c>
      <c r="K23" s="64">
        <v>0.23394798271845574</v>
      </c>
      <c r="L23" s="64">
        <v>0.41665513426373474</v>
      </c>
      <c r="M23" s="64">
        <v>0.28197735110618555</v>
      </c>
      <c r="N23" s="64">
        <v>0.2048348056381081</v>
      </c>
      <c r="O23" s="64">
        <v>0.07094037087548997</v>
      </c>
      <c r="P23" s="64">
        <v>0.19540499620073903</v>
      </c>
      <c r="Q23" s="64">
        <v>0.11482518203640155</v>
      </c>
    </row>
    <row r="24" ht="20" customHeight="1" spans="1:17" x14ac:dyDescent="0.25">
      <c r="A24" t="s">
        <v>122</v>
      </c>
      <c r="B24" s="67">
        <v>0.0172</v>
      </c>
      <c r="C24" s="67">
        <v>1.32</v>
      </c>
      <c r="D24" s="67">
        <v>10.65</v>
      </c>
      <c r="E24" s="67">
        <v>0.83</v>
      </c>
      <c r="F24" s="67">
        <v>1.73</v>
      </c>
      <c r="G24" s="67">
        <v>2.17</v>
      </c>
      <c r="H24" s="67">
        <v>2.98</v>
      </c>
      <c r="I24" s="67">
        <v>4.34</v>
      </c>
      <c r="J24" s="67">
        <v>2.59</v>
      </c>
      <c r="K24" s="67">
        <v>5.02</v>
      </c>
      <c r="L24" s="67">
        <v>21.91</v>
      </c>
      <c r="M24" s="67">
        <v>15.73</v>
      </c>
      <c r="N24" s="67">
        <v>8.96</v>
      </c>
      <c r="O24" s="67">
        <v>2.89</v>
      </c>
      <c r="P24" s="67">
        <v>6.11</v>
      </c>
      <c r="Q24" s="67">
        <v>9.69</v>
      </c>
    </row>
    <row r="25" ht="20" customHeight="1" spans="1:17" x14ac:dyDescent="0.25">
      <c r="A25" s="116" t="s">
        <v>123</v>
      </c>
      <c r="B25" s="126">
        <v>0.0172</v>
      </c>
      <c r="C25" s="126">
        <v>1.32</v>
      </c>
      <c r="D25" s="126">
        <v>10.65</v>
      </c>
      <c r="E25" s="126">
        <v>0.82</v>
      </c>
      <c r="F25" s="126">
        <v>1.73</v>
      </c>
      <c r="G25" s="126">
        <v>2.17</v>
      </c>
      <c r="H25" s="126">
        <v>2.94</v>
      </c>
      <c r="I25" s="126">
        <v>1.28</v>
      </c>
      <c r="J25" s="126">
        <v>2.48</v>
      </c>
      <c r="K25" s="126">
        <v>4.89</v>
      </c>
      <c r="L25" s="126">
        <v>20.92</v>
      </c>
      <c r="M25" s="126">
        <v>14.87</v>
      </c>
      <c r="N25" s="126">
        <v>8.5</v>
      </c>
      <c r="O25" s="126">
        <v>2.74</v>
      </c>
      <c r="P25" s="126">
        <v>5.84</v>
      </c>
      <c r="Q25" s="126">
        <v>9.3</v>
      </c>
    </row>
    <row r="26" ht="20" customHeight="1" spans="1:17" s="52" customFormat="1" x14ac:dyDescent="0.25">
      <c r="A26" s="13" t="s">
        <v>124</v>
      </c>
      <c r="B26" s="35">
        <v>33.634</v>
      </c>
      <c r="C26" s="35">
        <v>24.388</v>
      </c>
      <c r="D26" s="35">
        <v>131.095</v>
      </c>
      <c r="E26" s="35">
        <v>212.401</v>
      </c>
      <c r="F26" s="35">
        <v>265.9</v>
      </c>
      <c r="G26" s="35">
        <v>434.745</v>
      </c>
      <c r="H26" s="35">
        <v>689.207</v>
      </c>
      <c r="I26" s="35">
        <v>617.542</v>
      </c>
      <c r="J26" s="35">
        <v>280.622</v>
      </c>
      <c r="K26" s="35">
        <v>554.623</v>
      </c>
      <c r="L26" s="35">
        <v>2278.655</v>
      </c>
      <c r="M26" s="35">
        <v>1402.275</v>
      </c>
      <c r="N26" s="35">
        <v>738.933</v>
      </c>
      <c r="O26" s="35">
        <v>424.056</v>
      </c>
      <c r="P26" s="35">
        <v>473.167</v>
      </c>
      <c r="Q26" s="35">
        <v>1511.972</v>
      </c>
    </row>
    <row r="27" ht="20" customHeight="1" spans="1:17" s="45" customFormat="1" x14ac:dyDescent="0.25">
      <c r="A27" s="63" t="s">
        <v>70</v>
      </c>
      <c r="B27" s="64">
        <v>0.48583686027531814</v>
      </c>
      <c r="C27" s="64">
        <v>0.31813616144223117</v>
      </c>
      <c r="D27" s="64">
        <v>0.48026303738574544</v>
      </c>
      <c r="E27" s="64">
        <v>0.5236530297277707</v>
      </c>
      <c r="F27" s="64">
        <v>0.5046718683867393</v>
      </c>
      <c r="G27" s="64">
        <v>0.558750081933818</v>
      </c>
      <c r="H27" s="64">
        <v>0.6797275200059963</v>
      </c>
      <c r="I27" s="64">
        <v>0.5715256151002068</v>
      </c>
      <c r="J27" s="64">
        <v>0.2467236507314088</v>
      </c>
      <c r="K27" s="64">
        <v>0.3301895385575257</v>
      </c>
      <c r="L27" s="64">
        <v>0.5764906969560275</v>
      </c>
      <c r="M27" s="64">
        <v>0.39403460923619205</v>
      </c>
      <c r="N27" s="64">
        <v>0.3183111866588381</v>
      </c>
      <c r="O27" s="64">
        <v>0.20796019461326717</v>
      </c>
      <c r="P27" s="64">
        <v>0.2968926374651682</v>
      </c>
      <c r="Q27" s="64">
        <v>0.3464786053519561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 showGridLines="0" zoomScale="75" zoomScaleNormal="100">
      <pane xSplit="1" ySplit="5" topLeftCell="B6" activePane="bottomRight" state="frozen"/>
      <selection pane="bottomRight" activeCell="A27" sqref="A27"/>
    </sheetView>
  </sheetViews>
  <sheetFormatPr defaultRowHeight="16" outlineLevelRow="0" outlineLevelCol="0" x14ac:dyDescent="0.2" customHeight="1"/>
  <cols>
    <col min="1" max="1" width="47.6640625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125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19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19" customHeight="1" spans="1:17" x14ac:dyDescent="0.25">
      <c r="A6" s="13" t="s">
        <v>126</v>
      </c>
      <c r="B6" s="127">
        <v>0</v>
      </c>
      <c r="C6" s="127">
        <v>289.281</v>
      </c>
      <c r="D6" s="127">
        <v>832.163</v>
      </c>
      <c r="E6" s="127">
        <v>1584.475</v>
      </c>
      <c r="F6" s="127">
        <v>2507.125</v>
      </c>
      <c r="G6" s="127">
        <v>3505.294</v>
      </c>
      <c r="H6" s="127">
        <v>5133.902</v>
      </c>
      <c r="I6" s="127">
        <v>7368.093</v>
      </c>
      <c r="J6" s="127">
        <v>7478.573</v>
      </c>
      <c r="K6" s="127">
        <v>10204.017</v>
      </c>
      <c r="L6" s="127">
        <v>31597.795</v>
      </c>
      <c r="M6" s="127">
        <v>18776.612</v>
      </c>
      <c r="N6" s="127">
        <v>16822.584</v>
      </c>
      <c r="O6" s="127">
        <v>18844.563</v>
      </c>
      <c r="P6" s="127">
        <v>26086.887</v>
      </c>
      <c r="Q6" s="127">
        <v>29388.689</v>
      </c>
    </row>
    <row r="7" ht="19" customHeight="1" spans="1:17" x14ac:dyDescent="0.25">
      <c r="A7" s="128" t="s">
        <v>127</v>
      </c>
      <c r="B7" s="129">
        <v>0</v>
      </c>
      <c r="C7" s="129">
        <v>243.042</v>
      </c>
      <c r="D7" s="129">
        <v>675.109</v>
      </c>
      <c r="E7" s="129">
        <v>987.909</v>
      </c>
      <c r="F7" s="129">
        <v>1640.456</v>
      </c>
      <c r="G7" s="129">
        <v>1958.626</v>
      </c>
      <c r="H7" s="129">
        <v>3327.261</v>
      </c>
      <c r="I7" s="129">
        <v>5013.385</v>
      </c>
      <c r="J7" s="129">
        <v>4244.261</v>
      </c>
      <c r="K7" s="129">
        <v>6685.828</v>
      </c>
      <c r="L7" s="129">
        <v>27834.902</v>
      </c>
      <c r="M7" s="129">
        <v>14207.101</v>
      </c>
      <c r="N7" s="129">
        <v>10472.603</v>
      </c>
      <c r="O7" s="129">
        <v>11272.894</v>
      </c>
      <c r="P7" s="129">
        <v>16117.025</v>
      </c>
      <c r="Q7" s="129">
        <v>301.68</v>
      </c>
    </row>
    <row r="8" ht="19" customHeight="1" spans="1:17" x14ac:dyDescent="0.25">
      <c r="A8" s="130" t="s">
        <v>128</v>
      </c>
      <c r="B8" s="131"/>
      <c r="C8" s="131">
        <v>0.8401588766631752</v>
      </c>
      <c r="D8" s="131">
        <v>0.8112701477955641</v>
      </c>
      <c r="E8" s="131">
        <v>0.6234929550797583</v>
      </c>
      <c r="F8" s="131">
        <v>0.6543175948546642</v>
      </c>
      <c r="G8" s="131">
        <v>0.5587622607404685</v>
      </c>
      <c r="H8" s="131">
        <v>0.6480959317104222</v>
      </c>
      <c r="I8" s="131">
        <v>0.6804182574785633</v>
      </c>
      <c r="J8" s="131">
        <v>0.5675228415902338</v>
      </c>
      <c r="K8" s="131">
        <v>0.6552152941336731</v>
      </c>
      <c r="L8" s="131">
        <v>0.8809127978708641</v>
      </c>
      <c r="M8" s="131">
        <v>0.7566381517602856</v>
      </c>
      <c r="N8" s="131">
        <v>0.6225323648257605</v>
      </c>
      <c r="O8" s="131">
        <v>0.5982040549308573</v>
      </c>
      <c r="P8" s="131">
        <v>0.6178209381594668</v>
      </c>
      <c r="Q8" s="131">
        <v>0.010265173788459907</v>
      </c>
    </row>
    <row r="9" ht="19" customHeight="1" spans="1:17" x14ac:dyDescent="0.25">
      <c r="A9" t="s">
        <v>129</v>
      </c>
      <c r="B9" s="132">
        <v>0</v>
      </c>
      <c r="C9" s="132">
        <v>16.465</v>
      </c>
      <c r="D9" s="132">
        <v>12.323</v>
      </c>
      <c r="E9" s="132">
        <v>30.639</v>
      </c>
      <c r="F9" s="132">
        <v>76.256</v>
      </c>
      <c r="G9" s="132">
        <v>105.472</v>
      </c>
      <c r="H9" s="132">
        <v>99.367</v>
      </c>
      <c r="I9" s="132">
        <v>37.725</v>
      </c>
      <c r="J9" s="132">
        <v>155.289</v>
      </c>
      <c r="K9" s="132">
        <v>135.692</v>
      </c>
      <c r="L9" s="132">
        <v>532.716</v>
      </c>
      <c r="M9" s="132">
        <v>340.069</v>
      </c>
      <c r="N9" s="132">
        <v>1328.536</v>
      </c>
      <c r="O9" s="132">
        <v>938.371</v>
      </c>
      <c r="P9" s="132">
        <v>238.482</v>
      </c>
      <c r="Q9" s="132">
        <v>301.68</v>
      </c>
    </row>
    <row r="10" ht="19" customHeight="1" spans="1:17" x14ac:dyDescent="0.25">
      <c r="A10" t="s">
        <v>130</v>
      </c>
      <c r="B10" s="132">
        <v>0</v>
      </c>
      <c r="C10" s="132">
        <v>16.041</v>
      </c>
      <c r="D10" s="132">
        <v>53.164</v>
      </c>
      <c r="E10" s="132">
        <v>142.582</v>
      </c>
      <c r="F10" s="132">
        <v>21.687</v>
      </c>
      <c r="G10" s="132">
        <v>46.319</v>
      </c>
      <c r="H10" s="132">
        <v>85.964</v>
      </c>
      <c r="I10" s="132">
        <v>170.08</v>
      </c>
      <c r="J10" s="132">
        <v>117.824</v>
      </c>
      <c r="K10" s="132">
        <v>74.611</v>
      </c>
      <c r="L10" s="132">
        <v>15.217</v>
      </c>
      <c r="M10" s="132">
        <v>6.873</v>
      </c>
      <c r="N10" s="132">
        <v>12.194</v>
      </c>
      <c r="O10" s="132">
        <v>10.268</v>
      </c>
      <c r="P10" s="132">
        <v>420.553</v>
      </c>
      <c r="Q10" s="132">
        <v>410.037</v>
      </c>
    </row>
    <row r="11" ht="19" customHeight="1" spans="1:17" x14ac:dyDescent="0.25">
      <c r="A11" t="s">
        <v>131</v>
      </c>
      <c r="B11" s="132">
        <v>0</v>
      </c>
      <c r="C11" s="132">
        <v>57.114</v>
      </c>
      <c r="D11" s="132">
        <v>68.086</v>
      </c>
      <c r="E11" s="132">
        <v>129.356</v>
      </c>
      <c r="F11" s="132">
        <v>165.999</v>
      </c>
      <c r="G11" s="132">
        <v>406.277</v>
      </c>
      <c r="H11" s="132">
        <v>470.809</v>
      </c>
      <c r="I11" s="132">
        <v>1235.314</v>
      </c>
      <c r="J11" s="132">
        <v>164.489</v>
      </c>
      <c r="K11" s="132">
        <v>6007.639</v>
      </c>
      <c r="L11" s="132">
        <v>26383.531</v>
      </c>
      <c r="M11" s="132">
        <v>12955.961</v>
      </c>
      <c r="N11" s="132">
        <v>8328.095</v>
      </c>
      <c r="O11" s="132">
        <v>9442.875</v>
      </c>
      <c r="P11" s="132">
        <v>14538.866</v>
      </c>
      <c r="Q11" s="132">
        <v>17.122</v>
      </c>
    </row>
    <row r="12" ht="19" customHeight="1" spans="1:17" x14ac:dyDescent="0.25">
      <c r="A12" t="s">
        <v>132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-93.757</v>
      </c>
      <c r="H12" s="132">
        <v>-91.788</v>
      </c>
      <c r="I12" s="132">
        <v>-20.765</v>
      </c>
      <c r="J12" s="132">
        <v>1102.84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</row>
    <row r="13" ht="19" customHeight="1" spans="1:17" x14ac:dyDescent="0.25">
      <c r="A13" s="116" t="s">
        <v>133</v>
      </c>
      <c r="B13" s="133">
        <v>0</v>
      </c>
      <c r="C13" s="133">
        <v>153.422</v>
      </c>
      <c r="D13" s="133">
        <v>541.536</v>
      </c>
      <c r="E13" s="133">
        <v>685.332</v>
      </c>
      <c r="F13" s="133">
        <v>1376.514</v>
      </c>
      <c r="G13" s="133">
        <v>1494.315</v>
      </c>
      <c r="H13" s="133">
        <v>2762.909</v>
      </c>
      <c r="I13" s="133">
        <v>3591.031</v>
      </c>
      <c r="J13" s="133">
        <v>2703.819</v>
      </c>
      <c r="K13" s="133">
        <v>467.886</v>
      </c>
      <c r="L13" s="133">
        <v>903.438</v>
      </c>
      <c r="M13" s="133">
        <v>904.198</v>
      </c>
      <c r="N13" s="133">
        <v>803.778</v>
      </c>
      <c r="O13" s="133">
        <v>881.38</v>
      </c>
      <c r="P13" s="133">
        <v>919.124</v>
      </c>
      <c r="Q13" s="133">
        <v>-427.159</v>
      </c>
    </row>
    <row r="14" ht="19" customHeight="1" spans="1:17" x14ac:dyDescent="0.25">
      <c r="A14" s="128" t="s">
        <v>134</v>
      </c>
      <c r="B14" s="129">
        <v>0</v>
      </c>
      <c r="C14" s="129">
        <v>46.239</v>
      </c>
      <c r="D14" s="129">
        <v>157.054</v>
      </c>
      <c r="E14" s="129">
        <v>596.566</v>
      </c>
      <c r="F14" s="129">
        <v>866.669</v>
      </c>
      <c r="G14" s="129">
        <v>1546.668</v>
      </c>
      <c r="H14" s="129">
        <v>1806.641</v>
      </c>
      <c r="I14" s="129">
        <v>2354.708</v>
      </c>
      <c r="J14" s="129">
        <v>3234.312</v>
      </c>
      <c r="K14" s="129">
        <v>3518.189</v>
      </c>
      <c r="L14" s="129">
        <v>3762.893</v>
      </c>
      <c r="M14" s="129">
        <v>4569.511</v>
      </c>
      <c r="N14" s="129">
        <v>6349.981</v>
      </c>
      <c r="O14" s="129">
        <v>7571.669</v>
      </c>
      <c r="P14" s="129">
        <v>9969.862</v>
      </c>
      <c r="Q14" s="129">
        <v>29087.009</v>
      </c>
    </row>
    <row r="15" ht="19" customHeight="1" spans="1:17" x14ac:dyDescent="0.25">
      <c r="A15" s="130" t="s">
        <v>128</v>
      </c>
      <c r="B15" s="131"/>
      <c r="C15" s="131">
        <v>0.15984112333682474</v>
      </c>
      <c r="D15" s="131">
        <v>0.18872985220443592</v>
      </c>
      <c r="E15" s="131">
        <v>0.37650704492024173</v>
      </c>
      <c r="F15" s="131">
        <v>0.34568240514533577</v>
      </c>
      <c r="G15" s="131">
        <v>0.4412377392595314</v>
      </c>
      <c r="H15" s="131">
        <v>0.35190406828957776</v>
      </c>
      <c r="I15" s="131">
        <v>0.3195817425214367</v>
      </c>
      <c r="J15" s="131">
        <v>0.43247715840976614</v>
      </c>
      <c r="K15" s="131">
        <v>0.344784705866327</v>
      </c>
      <c r="L15" s="131">
        <v>0.11908720212913591</v>
      </c>
      <c r="M15" s="131">
        <v>0.24336184823971438</v>
      </c>
      <c r="N15" s="131">
        <v>0.3774676351742396</v>
      </c>
      <c r="O15" s="131">
        <v>0.40179594506914273</v>
      </c>
      <c r="P15" s="131">
        <v>0.38217906184053313</v>
      </c>
      <c r="Q15" s="131">
        <v>0.9897348262115401</v>
      </c>
    </row>
    <row r="16" ht="19" customHeight="1" spans="1:17" x14ac:dyDescent="0.25">
      <c r="A16" t="s">
        <v>135</v>
      </c>
      <c r="B16" s="132">
        <v>0</v>
      </c>
      <c r="C16" s="132">
        <v>2.541</v>
      </c>
      <c r="D16" s="132">
        <v>5.065</v>
      </c>
      <c r="E16" s="132">
        <v>9.837</v>
      </c>
      <c r="F16" s="132">
        <v>11.339</v>
      </c>
      <c r="G16" s="132">
        <v>16.311</v>
      </c>
      <c r="H16" s="132">
        <v>31.321</v>
      </c>
      <c r="I16" s="132">
        <v>29.453</v>
      </c>
      <c r="J16" s="132">
        <v>33.374</v>
      </c>
      <c r="K16" s="132">
        <v>103.57</v>
      </c>
      <c r="L16" s="132">
        <v>107.151</v>
      </c>
      <c r="M16" s="132">
        <v>120.717</v>
      </c>
      <c r="N16" s="132">
        <v>94.248</v>
      </c>
      <c r="O16" s="132">
        <v>68.942</v>
      </c>
      <c r="P16" s="132">
        <v>49.488</v>
      </c>
      <c r="Q16" s="132">
        <v>0</v>
      </c>
    </row>
    <row r="17" ht="19" customHeight="1" spans="1:17" x14ac:dyDescent="0.25">
      <c r="A17" t="s">
        <v>136</v>
      </c>
      <c r="B17" s="132">
        <v>0</v>
      </c>
      <c r="C17" s="132">
        <v>32.68</v>
      </c>
      <c r="D17" s="132">
        <v>109.77</v>
      </c>
      <c r="E17" s="132">
        <v>484.428</v>
      </c>
      <c r="F17" s="132">
        <v>731.395</v>
      </c>
      <c r="G17" s="132">
        <v>1414.96</v>
      </c>
      <c r="H17" s="132">
        <v>1638.877</v>
      </c>
      <c r="I17" s="132">
        <v>2145.317</v>
      </c>
      <c r="J17" s="132">
        <v>2860.36</v>
      </c>
      <c r="K17" s="132">
        <v>2989.92</v>
      </c>
      <c r="L17" s="132">
        <v>2662.608</v>
      </c>
      <c r="M17" s="132">
        <v>3987.558</v>
      </c>
      <c r="N17" s="132">
        <v>6111.081</v>
      </c>
      <c r="O17" s="132">
        <v>7248.084</v>
      </c>
      <c r="P17" s="132">
        <v>8865.33</v>
      </c>
      <c r="Q17" s="132">
        <v>9598.941</v>
      </c>
    </row>
    <row r="18" ht="19" customHeight="1" spans="1:17" x14ac:dyDescent="0.25">
      <c r="A18" t="s">
        <v>137</v>
      </c>
      <c r="B18" s="132">
        <v>0</v>
      </c>
      <c r="C18" s="132">
        <v>1.247</v>
      </c>
      <c r="D18" s="132">
        <v>1.897</v>
      </c>
      <c r="E18" s="132">
        <v>1.722</v>
      </c>
      <c r="F18" s="132">
        <v>1.582</v>
      </c>
      <c r="G18" s="132">
        <v>1.145</v>
      </c>
      <c r="H18" s="132">
        <v>1.228</v>
      </c>
      <c r="I18" s="132">
        <v>1.205</v>
      </c>
      <c r="J18" s="132">
        <v>1.397</v>
      </c>
      <c r="K18" s="132">
        <v>1.672</v>
      </c>
      <c r="L18" s="132">
        <v>1.105</v>
      </c>
      <c r="M18" s="132">
        <v>1.3</v>
      </c>
      <c r="N18" s="132">
        <v>0.929</v>
      </c>
      <c r="O18" s="132">
        <v>1.121</v>
      </c>
      <c r="P18" s="132">
        <v>0.944</v>
      </c>
      <c r="Q18" s="132">
        <v>0</v>
      </c>
    </row>
    <row r="19" ht="19" customHeight="1" spans="1:17" x14ac:dyDescent="0.25">
      <c r="A19" t="s">
        <v>138</v>
      </c>
      <c r="B19" s="132">
        <v>0</v>
      </c>
      <c r="C19" s="132">
        <v>5.46</v>
      </c>
      <c r="D19" s="132">
        <v>27.29</v>
      </c>
      <c r="E19" s="132">
        <v>63.117</v>
      </c>
      <c r="F19" s="132">
        <v>46.038</v>
      </c>
      <c r="G19" s="132">
        <v>18.378</v>
      </c>
      <c r="H19" s="132">
        <v>84.323</v>
      </c>
      <c r="I19" s="132">
        <v>80.626</v>
      </c>
      <c r="J19" s="132">
        <v>98.597</v>
      </c>
      <c r="K19" s="132">
        <v>0</v>
      </c>
      <c r="L19" s="132">
        <v>0</v>
      </c>
      <c r="M19" s="132">
        <v>0</v>
      </c>
      <c r="N19" s="132">
        <v>0</v>
      </c>
      <c r="O19" s="132">
        <v>0</v>
      </c>
      <c r="P19" s="132">
        <v>0</v>
      </c>
      <c r="Q19" s="132">
        <v>0</v>
      </c>
    </row>
    <row r="20" ht="19" customHeight="1" spans="1:17" x14ac:dyDescent="0.25">
      <c r="A20" s="116" t="s">
        <v>139</v>
      </c>
      <c r="B20" s="133">
        <v>0</v>
      </c>
      <c r="C20" s="133">
        <v>4.311</v>
      </c>
      <c r="D20" s="133">
        <v>13.032</v>
      </c>
      <c r="E20" s="133">
        <v>37.462</v>
      </c>
      <c r="F20" s="133">
        <v>76.315</v>
      </c>
      <c r="G20" s="133">
        <v>95.874</v>
      </c>
      <c r="H20" s="133">
        <v>50.892</v>
      </c>
      <c r="I20" s="133">
        <v>98.107</v>
      </c>
      <c r="J20" s="133">
        <v>240.584</v>
      </c>
      <c r="K20" s="133">
        <v>423.027</v>
      </c>
      <c r="L20" s="133">
        <v>992.029</v>
      </c>
      <c r="M20" s="133">
        <v>459.936</v>
      </c>
      <c r="N20" s="133">
        <v>143.723</v>
      </c>
      <c r="O20" s="133">
        <v>253.522</v>
      </c>
      <c r="P20" s="133">
        <v>1054.1</v>
      </c>
      <c r="Q20" s="133">
        <v>19488.068</v>
      </c>
    </row>
    <row r="21" ht="19" customHeight="1" spans="2:2" x14ac:dyDescent="0.25">
      <c r="B21" s="132"/>
    </row>
    <row r="22" ht="19" customHeight="1" spans="1:17" x14ac:dyDescent="0.25">
      <c r="A22" s="13" t="s">
        <v>140</v>
      </c>
      <c r="B22" s="134">
        <v>0</v>
      </c>
      <c r="C22" s="134">
        <v>165.366</v>
      </c>
      <c r="D22" s="134">
        <v>570.413</v>
      </c>
      <c r="E22" s="134">
        <v>955.271</v>
      </c>
      <c r="F22" s="134">
        <v>1699.859</v>
      </c>
      <c r="G22" s="134">
        <v>2442.944</v>
      </c>
      <c r="H22" s="134">
        <v>3734.546</v>
      </c>
      <c r="I22" s="134">
        <v>5648.419</v>
      </c>
      <c r="J22" s="134">
        <v>5824.782</v>
      </c>
      <c r="K22" s="134">
        <v>8142.51</v>
      </c>
      <c r="L22" s="134">
        <v>28208.407</v>
      </c>
      <c r="M22" s="134">
        <v>15358.287</v>
      </c>
      <c r="N22" s="134">
        <v>13351.535</v>
      </c>
      <c r="O22" s="134">
        <v>15305.96</v>
      </c>
      <c r="P22" s="134">
        <v>22257.236</v>
      </c>
      <c r="Q22" s="134">
        <v>25079.713</v>
      </c>
    </row>
    <row r="23" ht="19" customHeight="1" spans="1:17" x14ac:dyDescent="0.25">
      <c r="A23" s="128" t="s">
        <v>141</v>
      </c>
      <c r="B23" s="129">
        <v>0</v>
      </c>
      <c r="C23" s="129">
        <v>68.615</v>
      </c>
      <c r="D23" s="129">
        <v>119.853</v>
      </c>
      <c r="E23" s="129">
        <v>374.277</v>
      </c>
      <c r="F23" s="129">
        <v>488.128</v>
      </c>
      <c r="G23" s="129">
        <v>1936.193</v>
      </c>
      <c r="H23" s="129">
        <v>2449.865</v>
      </c>
      <c r="I23" s="129">
        <v>2960.384</v>
      </c>
      <c r="J23" s="129">
        <v>2857.895</v>
      </c>
      <c r="K23" s="129">
        <v>5118.919</v>
      </c>
      <c r="L23" s="129">
        <v>10893.116</v>
      </c>
      <c r="M23" s="129">
        <v>8595.959</v>
      </c>
      <c r="N23" s="129">
        <v>4583.045</v>
      </c>
      <c r="O23" s="129">
        <v>5491.047</v>
      </c>
      <c r="P23" s="129">
        <v>10318.836</v>
      </c>
      <c r="Q23" s="129">
        <v>7341.783</v>
      </c>
    </row>
    <row r="24" ht="19" customHeight="1" spans="1:17" x14ac:dyDescent="0.25">
      <c r="A24" s="130" t="s">
        <v>142</v>
      </c>
      <c r="B24" s="131"/>
      <c r="C24" s="131">
        <v>0.4149280988836883</v>
      </c>
      <c r="D24" s="131">
        <v>0.2101161789790906</v>
      </c>
      <c r="E24" s="131">
        <v>0.39180190752153055</v>
      </c>
      <c r="F24" s="131">
        <v>0.2871579348640093</v>
      </c>
      <c r="G24" s="131">
        <v>0.7925654456262607</v>
      </c>
      <c r="H24" s="131">
        <v>0.656000756182947</v>
      </c>
      <c r="I24" s="131">
        <v>0.5241084275086533</v>
      </c>
      <c r="J24" s="131">
        <v>0.49064411337626024</v>
      </c>
      <c r="K24" s="131">
        <v>0.6286659764618036</v>
      </c>
      <c r="L24" s="131">
        <v>0.38616558531646256</v>
      </c>
      <c r="M24" s="131">
        <v>0.5596951665247563</v>
      </c>
      <c r="N24" s="131">
        <v>0.3432597824894291</v>
      </c>
      <c r="O24" s="131">
        <v>0.3587522115568053</v>
      </c>
      <c r="P24" s="131">
        <v>0.463617135568855</v>
      </c>
      <c r="Q24" s="131">
        <v>0.29273791928958676</v>
      </c>
    </row>
    <row r="25" ht="19" customHeight="1" spans="1:17" x14ac:dyDescent="0.25">
      <c r="A25" t="s">
        <v>143</v>
      </c>
      <c r="B25" s="132">
        <v>0</v>
      </c>
      <c r="C25" s="132">
        <v>38.993</v>
      </c>
      <c r="D25" s="132">
        <v>83.058</v>
      </c>
      <c r="E25" s="132">
        <v>266.284</v>
      </c>
      <c r="F25" s="132">
        <v>377.196</v>
      </c>
      <c r="G25" s="132">
        <v>664.719</v>
      </c>
      <c r="H25" s="132">
        <v>593.316</v>
      </c>
      <c r="I25" s="132">
        <v>482.675</v>
      </c>
      <c r="J25" s="132">
        <v>476.953</v>
      </c>
      <c r="K25" s="132">
        <v>427.139</v>
      </c>
      <c r="L25" s="132">
        <v>580.454</v>
      </c>
      <c r="M25" s="132">
        <v>587.432</v>
      </c>
      <c r="N25" s="132">
        <v>552.919</v>
      </c>
      <c r="O25" s="132">
        <v>658.106</v>
      </c>
      <c r="P25" s="132">
        <v>476.731</v>
      </c>
      <c r="Q25" s="132">
        <v>0</v>
      </c>
    </row>
    <row r="26" ht="19" customHeight="1" spans="1:17" x14ac:dyDescent="0.25">
      <c r="A26" t="s">
        <v>144</v>
      </c>
      <c r="B26" s="132">
        <v>0</v>
      </c>
      <c r="C26" s="132">
        <v>77.7</v>
      </c>
      <c r="D26" s="132">
        <v>393.534</v>
      </c>
      <c r="E26" s="132">
        <v>471.592</v>
      </c>
      <c r="F26" s="132">
        <v>0</v>
      </c>
      <c r="G26" s="132">
        <v>1166.731</v>
      </c>
      <c r="H26" s="132">
        <v>1735.114</v>
      </c>
      <c r="I26" s="132">
        <v>2381.538</v>
      </c>
      <c r="J26" s="132">
        <v>1933.859</v>
      </c>
      <c r="K26" s="132">
        <v>4141.053</v>
      </c>
      <c r="L26" s="132">
        <v>9654.797</v>
      </c>
      <c r="M26" s="132">
        <v>7292.735</v>
      </c>
      <c r="N26" s="132">
        <v>3001.283</v>
      </c>
      <c r="O26" s="132">
        <v>3763.956</v>
      </c>
      <c r="P26" s="132">
        <v>8685.207</v>
      </c>
      <c r="Q26" s="132">
        <v>16203.802</v>
      </c>
    </row>
    <row r="27" ht="19" customHeight="1" spans="2:17" x14ac:dyDescent="0.25">
      <c r="B27" s="132">
        <v>0</v>
      </c>
      <c r="C27" s="132">
        <v>0</v>
      </c>
      <c r="D27" s="132">
        <v>0</v>
      </c>
      <c r="E27" s="132">
        <v>0</v>
      </c>
      <c r="F27" s="132">
        <v>0</v>
      </c>
      <c r="G27" s="132">
        <v>0</v>
      </c>
      <c r="H27" s="132">
        <v>0</v>
      </c>
      <c r="I27" s="132">
        <v>0</v>
      </c>
      <c r="J27" s="132">
        <v>0</v>
      </c>
      <c r="K27" s="132">
        <v>0</v>
      </c>
      <c r="L27" s="132">
        <v>0</v>
      </c>
      <c r="M27" s="132">
        <v>0</v>
      </c>
      <c r="N27" s="132">
        <v>0</v>
      </c>
      <c r="O27" s="132">
        <v>0</v>
      </c>
      <c r="P27" s="132">
        <v>0</v>
      </c>
      <c r="Q27" s="132">
        <v>0</v>
      </c>
    </row>
    <row r="28" ht="19" customHeight="1" spans="1:17" x14ac:dyDescent="0.25">
      <c r="A28" s="116" t="s">
        <v>145</v>
      </c>
      <c r="B28" s="133">
        <v>0</v>
      </c>
      <c r="C28" s="133">
        <v>-48.078</v>
      </c>
      <c r="D28" s="133">
        <v>-356.739</v>
      </c>
      <c r="E28" s="133">
        <v>-363.599</v>
      </c>
      <c r="F28" s="133">
        <v>110.932</v>
      </c>
      <c r="G28" s="133">
        <v>104.743</v>
      </c>
      <c r="H28" s="133">
        <v>96.347</v>
      </c>
      <c r="I28" s="133">
        <v>44.011</v>
      </c>
      <c r="J28" s="133">
        <v>46.537</v>
      </c>
      <c r="K28" s="133">
        <v>46.158</v>
      </c>
      <c r="L28" s="133">
        <v>35.165</v>
      </c>
      <c r="M28" s="133">
        <v>30.53</v>
      </c>
      <c r="N28" s="133">
        <v>26.099</v>
      </c>
      <c r="O28" s="133">
        <v>26.099</v>
      </c>
      <c r="P28" s="133">
        <v>25.898</v>
      </c>
      <c r="Q28" s="133">
        <v>-8862.019</v>
      </c>
    </row>
    <row r="29" ht="19" customHeight="1" spans="1:17" x14ac:dyDescent="0.25">
      <c r="A29" s="128" t="s">
        <v>146</v>
      </c>
      <c r="B29" s="129">
        <v>0</v>
      </c>
      <c r="C29" s="129">
        <v>96.751</v>
      </c>
      <c r="D29" s="129">
        <v>450.56</v>
      </c>
      <c r="E29" s="129">
        <v>580.994</v>
      </c>
      <c r="F29" s="129">
        <v>1211.731</v>
      </c>
      <c r="G29" s="129">
        <v>506.751</v>
      </c>
      <c r="H29" s="129">
        <v>1284.681</v>
      </c>
      <c r="I29" s="129">
        <v>2688.035</v>
      </c>
      <c r="J29" s="129">
        <v>2966.887</v>
      </c>
      <c r="K29" s="129">
        <v>3023.591</v>
      </c>
      <c r="L29" s="129">
        <v>17315.291</v>
      </c>
      <c r="M29" s="129">
        <v>6762.328</v>
      </c>
      <c r="N29" s="129">
        <v>8768.49</v>
      </c>
      <c r="O29" s="129">
        <v>9814.913</v>
      </c>
      <c r="P29" s="129">
        <v>11938.4</v>
      </c>
      <c r="Q29" s="129">
        <v>17737.93</v>
      </c>
    </row>
    <row r="30" ht="19" customHeight="1" spans="1:17" x14ac:dyDescent="0.25">
      <c r="A30" s="130" t="s">
        <v>142</v>
      </c>
      <c r="B30" s="131"/>
      <c r="C30" s="131">
        <v>0.5850719011163117</v>
      </c>
      <c r="D30" s="131">
        <v>0.7898838210209094</v>
      </c>
      <c r="E30" s="131">
        <v>0.6081980924784695</v>
      </c>
      <c r="F30" s="131">
        <v>0.7128420651359907</v>
      </c>
      <c r="G30" s="131">
        <v>0.20743455437373923</v>
      </c>
      <c r="H30" s="131">
        <v>0.343999243817053</v>
      </c>
      <c r="I30" s="131">
        <v>0.47589157249134667</v>
      </c>
      <c r="J30" s="131">
        <v>0.5093558866237398</v>
      </c>
      <c r="K30" s="131">
        <v>0.37133402353819644</v>
      </c>
      <c r="L30" s="131">
        <v>0.6138344146835374</v>
      </c>
      <c r="M30" s="131">
        <v>0.4403048334752437</v>
      </c>
      <c r="N30" s="131">
        <v>0.6567402175105709</v>
      </c>
      <c r="O30" s="131">
        <v>0.6412477884431946</v>
      </c>
      <c r="P30" s="131">
        <v>0.536382864431145</v>
      </c>
      <c r="Q30" s="131">
        <v>0.7072620807104132</v>
      </c>
    </row>
    <row r="31" ht="19" customHeight="1" spans="1:17" x14ac:dyDescent="0.25">
      <c r="A31" t="s">
        <v>147</v>
      </c>
      <c r="B31" s="132">
        <v>0</v>
      </c>
      <c r="C31" s="132">
        <v>96.302</v>
      </c>
      <c r="D31" s="132">
        <v>0</v>
      </c>
      <c r="E31" s="132">
        <v>570.409</v>
      </c>
      <c r="F31" s="132">
        <v>1191.959</v>
      </c>
      <c r="G31" s="132">
        <v>477.056</v>
      </c>
      <c r="H31" s="132">
        <v>1243.252</v>
      </c>
      <c r="I31" s="132">
        <v>2662.186</v>
      </c>
      <c r="J31" s="132">
        <v>2942.668</v>
      </c>
      <c r="K31" s="132">
        <v>2979.815</v>
      </c>
      <c r="L31" s="132">
        <v>17239.965</v>
      </c>
      <c r="M31" s="132">
        <v>6696.201</v>
      </c>
      <c r="N31" s="132">
        <v>8799.907</v>
      </c>
      <c r="O31" s="132">
        <v>9730.85</v>
      </c>
      <c r="P31" s="132">
        <v>11868.371</v>
      </c>
      <c r="Q31" s="132">
        <v>6157.763</v>
      </c>
    </row>
    <row r="32" ht="19" customHeight="1" spans="1:17" x14ac:dyDescent="0.25">
      <c r="A32" s="116" t="s">
        <v>148</v>
      </c>
      <c r="B32" s="133">
        <v>0</v>
      </c>
      <c r="C32" s="133">
        <v>0.449</v>
      </c>
      <c r="D32" s="133">
        <v>450.56</v>
      </c>
      <c r="E32" s="133">
        <v>10.585</v>
      </c>
      <c r="F32" s="133">
        <v>19.772</v>
      </c>
      <c r="G32" s="133">
        <v>29.695</v>
      </c>
      <c r="H32" s="133">
        <v>-3706.365</v>
      </c>
      <c r="I32" s="133">
        <v>-5629.932</v>
      </c>
      <c r="J32" s="133">
        <v>24.219</v>
      </c>
      <c r="K32" s="133">
        <v>43.776</v>
      </c>
      <c r="L32" s="133">
        <v>75.326</v>
      </c>
      <c r="M32" s="133">
        <v>66.127</v>
      </c>
      <c r="N32" s="133">
        <v>-31.417</v>
      </c>
      <c r="O32" s="133">
        <v>84.063</v>
      </c>
      <c r="P32" s="133">
        <v>70.029</v>
      </c>
      <c r="Q32" s="133">
        <v>11580.167</v>
      </c>
    </row>
    <row r="33" ht="19" customHeight="1" spans="2:2" x14ac:dyDescent="0.25">
      <c r="B33" s="132"/>
    </row>
    <row r="34" ht="19" customHeight="1" spans="1:17" x14ac:dyDescent="0.25">
      <c r="A34" s="13" t="s">
        <v>149</v>
      </c>
      <c r="B34" s="134">
        <v>0</v>
      </c>
      <c r="C34" s="134">
        <v>123.915</v>
      </c>
      <c r="D34" s="134">
        <v>261.75</v>
      </c>
      <c r="E34" s="134">
        <v>629.204</v>
      </c>
      <c r="F34" s="134">
        <v>807.266</v>
      </c>
      <c r="G34" s="134">
        <v>1062.35</v>
      </c>
      <c r="H34" s="134">
        <v>1399.356</v>
      </c>
      <c r="I34" s="134">
        <v>1719.674</v>
      </c>
      <c r="J34" s="134">
        <v>1653.791</v>
      </c>
      <c r="K34" s="134">
        <v>2061.507</v>
      </c>
      <c r="L34" s="134">
        <v>3389.388</v>
      </c>
      <c r="M34" s="134">
        <v>3418.325</v>
      </c>
      <c r="N34" s="134">
        <v>3471.049</v>
      </c>
      <c r="O34" s="134">
        <v>3538.603</v>
      </c>
      <c r="P34" s="134">
        <v>3829.651</v>
      </c>
      <c r="Q34" s="134">
        <v>4308.976</v>
      </c>
    </row>
    <row r="35" ht="19" customHeight="1" spans="1:17" x14ac:dyDescent="0.25">
      <c r="A35" t="s">
        <v>150</v>
      </c>
      <c r="B35" s="132">
        <v>0</v>
      </c>
      <c r="C35" s="132">
        <v>0</v>
      </c>
      <c r="D35" s="132">
        <v>261.75</v>
      </c>
      <c r="E35" s="132">
        <v>0.002</v>
      </c>
      <c r="F35" s="132">
        <v>0.002</v>
      </c>
      <c r="G35" s="132">
        <v>0.002</v>
      </c>
      <c r="H35" s="132">
        <v>0.002</v>
      </c>
      <c r="I35" s="132">
        <v>0.002</v>
      </c>
      <c r="J35" s="132">
        <v>0.008</v>
      </c>
      <c r="K35" s="132">
        <v>0.008</v>
      </c>
      <c r="L35" s="132">
        <v>0.007</v>
      </c>
      <c r="M35" s="132">
        <v>0.006</v>
      </c>
      <c r="N35" s="132">
        <v>0.005</v>
      </c>
      <c r="O35" s="132">
        <v>0.005</v>
      </c>
      <c r="P35" s="132">
        <v>0.005</v>
      </c>
      <c r="Q35" s="132">
        <v>0.005</v>
      </c>
    </row>
    <row r="36" ht="19" customHeight="1" spans="1:17" x14ac:dyDescent="0.25">
      <c r="A36" t="s">
        <v>151</v>
      </c>
      <c r="B36" s="132">
        <v>0</v>
      </c>
      <c r="C36" s="132">
        <v>44.722</v>
      </c>
      <c r="D36" s="132">
        <v>147.174</v>
      </c>
      <c r="E36" s="132">
        <v>14.4</v>
      </c>
      <c r="F36" s="132">
        <v>51.242</v>
      </c>
      <c r="G36" s="132">
        <v>98.47</v>
      </c>
      <c r="H36" s="132">
        <v>164.549</v>
      </c>
      <c r="I36" s="132">
        <v>265.306</v>
      </c>
      <c r="J36" s="132">
        <v>343.135</v>
      </c>
      <c r="K36" s="132">
        <v>726.392</v>
      </c>
      <c r="L36" s="132">
        <v>2342.329</v>
      </c>
      <c r="M36" s="132">
        <v>3292.923</v>
      </c>
      <c r="N36" s="132">
        <v>3471.044</v>
      </c>
      <c r="O36" s="132">
        <v>3514.311</v>
      </c>
      <c r="P36" s="132">
        <v>3773.574</v>
      </c>
      <c r="Q36" s="132">
        <v>4212.100999</v>
      </c>
    </row>
    <row r="37" ht="19" customHeight="1" spans="1:17" x14ac:dyDescent="0.25">
      <c r="A37" t="s">
        <v>152</v>
      </c>
      <c r="B37" s="132">
        <v>0</v>
      </c>
      <c r="C37" s="132">
        <v>96.374</v>
      </c>
      <c r="D37" s="132">
        <v>97.148</v>
      </c>
      <c r="E37" s="132">
        <v>0</v>
      </c>
      <c r="F37" s="132">
        <v>0</v>
      </c>
      <c r="G37" s="132">
        <v>0</v>
      </c>
      <c r="H37" s="132">
        <v>164.549</v>
      </c>
      <c r="I37" s="132">
        <v>265.306</v>
      </c>
      <c r="J37" s="132">
        <v>343.135</v>
      </c>
      <c r="K37" s="132">
        <v>0</v>
      </c>
      <c r="L37" s="132">
        <v>0</v>
      </c>
      <c r="M37" s="132">
        <v>0</v>
      </c>
      <c r="N37" s="132">
        <v>0</v>
      </c>
      <c r="O37" s="132">
        <v>0</v>
      </c>
      <c r="P37" s="132">
        <v>0</v>
      </c>
      <c r="Q37" s="132">
        <v>0</v>
      </c>
    </row>
    <row r="38" ht="19" customHeight="1" spans="1:17" x14ac:dyDescent="0.25">
      <c r="A38" t="s">
        <v>153</v>
      </c>
      <c r="B38" s="132">
        <v>0</v>
      </c>
      <c r="C38" s="132">
        <v>0</v>
      </c>
      <c r="D38" s="132">
        <v>0</v>
      </c>
      <c r="E38" s="132">
        <v>461.802</v>
      </c>
      <c r="F38" s="132">
        <v>593.302</v>
      </c>
      <c r="G38" s="132">
        <v>791.524</v>
      </c>
      <c r="H38" s="132">
        <v>1052.033</v>
      </c>
      <c r="I38" s="132">
        <v>1250.263</v>
      </c>
      <c r="J38" s="132">
        <v>14.211</v>
      </c>
      <c r="K38" s="132">
        <v>0</v>
      </c>
      <c r="L38" s="132">
        <v>0</v>
      </c>
      <c r="M38" s="132">
        <v>0</v>
      </c>
      <c r="N38" s="132">
        <v>0</v>
      </c>
      <c r="O38" s="132">
        <v>0</v>
      </c>
      <c r="P38" s="132">
        <v>0</v>
      </c>
      <c r="Q38" s="132">
        <v>0</v>
      </c>
    </row>
    <row r="39" ht="19" customHeight="1" spans="1:17" x14ac:dyDescent="0.25">
      <c r="A39" t="s">
        <v>154</v>
      </c>
      <c r="B39" s="132">
        <v>0</v>
      </c>
      <c r="C39" s="132">
        <v>0</v>
      </c>
      <c r="D39" s="132">
        <v>-261.75</v>
      </c>
      <c r="E39" s="132">
        <v>0</v>
      </c>
      <c r="F39" s="132">
        <v>0</v>
      </c>
      <c r="G39" s="132">
        <v>0</v>
      </c>
      <c r="H39" s="132">
        <v>1399.356</v>
      </c>
      <c r="I39" s="132">
        <v>1719.674</v>
      </c>
      <c r="J39" s="132">
        <v>1653.791</v>
      </c>
      <c r="K39" s="132">
        <v>0</v>
      </c>
      <c r="L39" s="132">
        <v>0</v>
      </c>
      <c r="M39" s="132">
        <v>0</v>
      </c>
      <c r="N39" s="132">
        <v>0</v>
      </c>
      <c r="O39" s="132">
        <v>0</v>
      </c>
      <c r="P39" s="132">
        <v>0</v>
      </c>
      <c r="Q39" s="132">
        <v>0</v>
      </c>
    </row>
    <row r="40" ht="19" customHeight="1" spans="1:17" x14ac:dyDescent="0.25">
      <c r="A40" s="116" t="s">
        <v>155</v>
      </c>
      <c r="B40" s="133">
        <v>0</v>
      </c>
      <c r="C40" s="133">
        <v>-17.181</v>
      </c>
      <c r="D40" s="133">
        <v>17.428</v>
      </c>
      <c r="E40" s="133">
        <v>153</v>
      </c>
      <c r="F40" s="133">
        <v>162.72</v>
      </c>
      <c r="G40" s="133">
        <v>172.354</v>
      </c>
      <c r="H40" s="133">
        <v>-1381.133</v>
      </c>
      <c r="I40" s="133">
        <v>-1780.877</v>
      </c>
      <c r="J40" s="133">
        <v>-700.489</v>
      </c>
      <c r="K40" s="133">
        <v>1335.107</v>
      </c>
      <c r="L40" s="133">
        <v>1047.052</v>
      </c>
      <c r="M40" s="133">
        <v>125.396</v>
      </c>
      <c r="N40" s="133">
        <v>0</v>
      </c>
      <c r="O40" s="133">
        <v>24.287</v>
      </c>
      <c r="P40" s="133">
        <v>56.072</v>
      </c>
      <c r="Q40" s="133">
        <v>96.870001</v>
      </c>
    </row>
    <row r="41" ht="19" customHeight="1" spans="2:2" x14ac:dyDescent="0.25">
      <c r="B41" s="132"/>
    </row>
    <row r="42" ht="19" customHeight="1" spans="1:17" x14ac:dyDescent="0.25">
      <c r="A42" s="13" t="s">
        <v>156</v>
      </c>
      <c r="B42" s="134">
        <v>0</v>
      </c>
      <c r="C42" s="134">
        <v>289.281</v>
      </c>
      <c r="D42" s="134">
        <v>832.163</v>
      </c>
      <c r="E42" s="134">
        <v>1584.475</v>
      </c>
      <c r="F42" s="134">
        <v>2507.125</v>
      </c>
      <c r="G42" s="134">
        <v>3505.294</v>
      </c>
      <c r="H42" s="134">
        <v>5133.902</v>
      </c>
      <c r="I42" s="134">
        <v>7368.093</v>
      </c>
      <c r="J42" s="134">
        <v>7478.573</v>
      </c>
      <c r="K42" s="134">
        <v>10204.017</v>
      </c>
      <c r="L42" s="134">
        <v>31597.795</v>
      </c>
      <c r="M42" s="134">
        <v>18776.612</v>
      </c>
      <c r="N42" s="134">
        <v>16822.584</v>
      </c>
      <c r="O42" s="134">
        <v>18844.563</v>
      </c>
      <c r="P42" s="134">
        <v>26086.887</v>
      </c>
      <c r="Q42" s="134">
        <v>29388.689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 showGridLines="0" zoomScale="66" zoomScaleNormal="100">
      <pane xSplit="1" ySplit="5" topLeftCell="B6" activePane="bottomRight" state="frozen"/>
      <selection pane="bottomRight" activeCell="A27" sqref="A27"/>
    </sheetView>
  </sheetViews>
  <sheetFormatPr defaultRowHeight="16" outlineLevelRow="0" outlineLevelCol="0" x14ac:dyDescent="0.2" customHeight="1"/>
  <cols>
    <col min="1" max="1" width="52" customWidth="1"/>
    <col min="2" max="2" width="13.5" style="8" customWidth="1"/>
    <col min="3" max="17" width="13.5" customWidth="1"/>
  </cols>
  <sheetData>
    <row r="1" ht="51" customHeight="1" x14ac:dyDescent="0.25"/>
    <row r="3" ht="20" customHeight="1" spans="1:17" x14ac:dyDescent="0.25">
      <c r="A3" s="10" t="s">
        <v>157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ht="17" customHeight="1" x14ac:dyDescent="0.25"/>
    <row r="5" ht="19" customHeight="1" spans="1:17" x14ac:dyDescent="0.25">
      <c r="A5" s="11" t="s">
        <v>12</v>
      </c>
      <c r="B5" s="12" t="s">
        <v>100</v>
      </c>
      <c r="C5" s="12" t="s">
        <v>101</v>
      </c>
      <c r="D5" s="12" t="s">
        <v>102</v>
      </c>
      <c r="E5" s="12" t="s">
        <v>103</v>
      </c>
      <c r="F5" s="12" t="s">
        <v>104</v>
      </c>
      <c r="G5" s="12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44</v>
      </c>
      <c r="N5" s="12" t="s">
        <v>45</v>
      </c>
      <c r="O5" s="12" t="s">
        <v>46</v>
      </c>
      <c r="P5" s="12" t="s">
        <v>47</v>
      </c>
      <c r="Q5" s="12" t="s">
        <v>48</v>
      </c>
    </row>
    <row r="6" ht="19" customHeight="1" spans="1:17" x14ac:dyDescent="0.25">
      <c r="A6" s="13" t="s">
        <v>158</v>
      </c>
      <c r="B6" s="134">
        <v>-12.647</v>
      </c>
      <c r="C6" s="134">
        <v>-74.718</v>
      </c>
      <c r="D6" s="134">
        <v>-308.057</v>
      </c>
      <c r="E6" s="134">
        <v>-98.39</v>
      </c>
      <c r="F6" s="134">
        <v>-578.954</v>
      </c>
      <c r="G6" s="134">
        <v>53.144</v>
      </c>
      <c r="H6" s="134">
        <v>-938.522</v>
      </c>
      <c r="I6" s="134">
        <v>-883.585</v>
      </c>
      <c r="J6" s="134">
        <v>572.396</v>
      </c>
      <c r="K6" s="134">
        <v>-2147.002</v>
      </c>
      <c r="L6" s="134">
        <v>-6198.938</v>
      </c>
      <c r="M6" s="134">
        <v>2563.061</v>
      </c>
      <c r="N6" s="134">
        <v>6033.235</v>
      </c>
      <c r="O6" s="134">
        <v>-1582.219</v>
      </c>
      <c r="P6" s="134">
        <v>-4533.27</v>
      </c>
      <c r="Q6" s="134">
        <v>0</v>
      </c>
    </row>
    <row r="7" ht="19" customHeight="1" spans="1:17" x14ac:dyDescent="0.25">
      <c r="A7" t="s">
        <v>121</v>
      </c>
      <c r="B7" s="132">
        <v>33.042</v>
      </c>
      <c r="C7" s="132">
        <v>14.699</v>
      </c>
      <c r="D7" s="132">
        <v>118.323</v>
      </c>
      <c r="E7" s="132">
        <v>172.165</v>
      </c>
      <c r="F7" s="132">
        <v>196.311</v>
      </c>
      <c r="G7" s="132">
        <v>247.558</v>
      </c>
      <c r="H7" s="132">
        <v>336.98</v>
      </c>
      <c r="I7" s="132">
        <v>311.522</v>
      </c>
      <c r="J7" s="132">
        <v>244.443</v>
      </c>
      <c r="K7" s="132">
        <v>392.965</v>
      </c>
      <c r="L7" s="132">
        <v>1646.884</v>
      </c>
      <c r="M7" s="132">
        <v>1003.49</v>
      </c>
      <c r="N7" s="132">
        <v>475.507</v>
      </c>
      <c r="O7" s="132">
        <v>144.656</v>
      </c>
      <c r="P7" s="132">
        <v>311.423</v>
      </c>
      <c r="Q7" s="132">
        <v>501.077</v>
      </c>
    </row>
    <row r="8" ht="19" customHeight="1" spans="1:17" x14ac:dyDescent="0.25">
      <c r="A8" t="s">
        <v>159</v>
      </c>
      <c r="B8" s="132">
        <v>0.592</v>
      </c>
      <c r="C8" s="132">
        <v>9.689</v>
      </c>
      <c r="D8" s="132">
        <v>12.772</v>
      </c>
      <c r="E8" s="132">
        <v>30.275</v>
      </c>
      <c r="F8" s="132">
        <v>42.867</v>
      </c>
      <c r="G8" s="132">
        <v>155.552</v>
      </c>
      <c r="H8" s="132">
        <v>306.124</v>
      </c>
      <c r="I8" s="132">
        <v>281.633</v>
      </c>
      <c r="J8" s="132">
        <v>258.814</v>
      </c>
      <c r="K8" s="132">
        <v>25.179</v>
      </c>
      <c r="L8" s="132">
        <v>37.859</v>
      </c>
      <c r="M8" s="132">
        <v>42.94</v>
      </c>
      <c r="N8" s="132">
        <v>50.24</v>
      </c>
      <c r="O8" s="132">
        <v>70.018</v>
      </c>
      <c r="P8" s="132">
        <v>69.66</v>
      </c>
      <c r="Q8" s="132">
        <v>0</v>
      </c>
    </row>
    <row r="9" ht="19" customHeight="1" spans="1:17" x14ac:dyDescent="0.25">
      <c r="A9" t="s">
        <v>160</v>
      </c>
      <c r="B9" s="132">
        <v>-0.073</v>
      </c>
      <c r="C9" s="132">
        <v>0.114</v>
      </c>
      <c r="D9" s="132">
        <v>-0.65</v>
      </c>
      <c r="E9" s="132">
        <v>0.197</v>
      </c>
      <c r="F9" s="132">
        <v>18.826</v>
      </c>
      <c r="G9" s="132">
        <v>30.219</v>
      </c>
      <c r="H9" s="132">
        <v>35.502</v>
      </c>
      <c r="I9" s="132">
        <v>105.828</v>
      </c>
      <c r="J9" s="132">
        <v>39.525</v>
      </c>
      <c r="K9" s="132">
        <v>0</v>
      </c>
      <c r="L9" s="132">
        <v>-779.606</v>
      </c>
      <c r="M9" s="132">
        <v>425.877</v>
      </c>
      <c r="N9" s="132">
        <v>0</v>
      </c>
      <c r="O9" s="132">
        <v>0</v>
      </c>
      <c r="P9" s="132">
        <v>0</v>
      </c>
      <c r="Q9" s="132">
        <v>0</v>
      </c>
    </row>
    <row r="10" ht="19" customHeight="1" spans="1:17" x14ac:dyDescent="0.25">
      <c r="A10" t="s">
        <v>161</v>
      </c>
      <c r="B10" s="132">
        <v>1.292</v>
      </c>
      <c r="C10" s="132">
        <v>1.116</v>
      </c>
      <c r="D10" s="132">
        <v>20.308</v>
      </c>
      <c r="E10" s="132">
        <v>3.937</v>
      </c>
      <c r="F10" s="132">
        <v>10.331</v>
      </c>
      <c r="G10" s="132">
        <v>17.521</v>
      </c>
      <c r="H10" s="132">
        <v>16.198</v>
      </c>
      <c r="I10" s="132">
        <v>20.697</v>
      </c>
      <c r="J10" s="132">
        <v>25.251</v>
      </c>
      <c r="K10" s="132">
        <v>0</v>
      </c>
      <c r="L10" s="132">
        <v>45.105</v>
      </c>
      <c r="M10" s="132">
        <v>37.794</v>
      </c>
      <c r="N10" s="132">
        <v>42.552</v>
      </c>
      <c r="O10" s="132">
        <v>27.582</v>
      </c>
      <c r="P10" s="132">
        <v>20.868</v>
      </c>
      <c r="Q10" s="132">
        <v>0</v>
      </c>
    </row>
    <row r="11" ht="19" customHeight="1" spans="1:17" x14ac:dyDescent="0.25">
      <c r="A11" t="s">
        <v>162</v>
      </c>
      <c r="B11" s="132">
        <v>-40.533</v>
      </c>
      <c r="C11" s="132">
        <v>-97.242</v>
      </c>
      <c r="D11" s="132">
        <v>-472.845</v>
      </c>
      <c r="E11" s="132">
        <v>-282.509</v>
      </c>
      <c r="F11" s="132">
        <v>-795.642</v>
      </c>
      <c r="G11" s="132">
        <v>-374.624</v>
      </c>
      <c r="H11" s="132">
        <v>-1603.681</v>
      </c>
      <c r="I11" s="132">
        <v>-1467.167</v>
      </c>
      <c r="J11" s="132">
        <v>31.65</v>
      </c>
      <c r="K11" s="132">
        <v>-2575.589</v>
      </c>
      <c r="L11" s="132">
        <v>-6653.041</v>
      </c>
      <c r="M11" s="132">
        <v>1070.953</v>
      </c>
      <c r="N11" s="132">
        <v>5155.413</v>
      </c>
      <c r="O11" s="132">
        <v>-1835.715</v>
      </c>
      <c r="P11" s="132">
        <v>-4725.683</v>
      </c>
      <c r="Q11" s="132">
        <v>-501.077</v>
      </c>
    </row>
    <row r="12" ht="19" customHeight="1" spans="1:17" x14ac:dyDescent="0.25">
      <c r="A12" s="116" t="s">
        <v>21</v>
      </c>
      <c r="B12" s="133">
        <v>-6.967</v>
      </c>
      <c r="C12" s="133">
        <v>-3.094</v>
      </c>
      <c r="D12" s="133">
        <v>14.035</v>
      </c>
      <c r="E12" s="133">
        <v>-22.455</v>
      </c>
      <c r="F12" s="133">
        <v>-51.647</v>
      </c>
      <c r="G12" s="133">
        <v>-23.082</v>
      </c>
      <c r="H12" s="133">
        <v>-29.645</v>
      </c>
      <c r="I12" s="133">
        <v>-136.098</v>
      </c>
      <c r="J12" s="133">
        <v>-27.287</v>
      </c>
      <c r="K12" s="133">
        <v>10.443</v>
      </c>
      <c r="L12" s="133">
        <v>-496.139</v>
      </c>
      <c r="M12" s="133">
        <v>-17.993</v>
      </c>
      <c r="N12" s="133">
        <v>309.523</v>
      </c>
      <c r="O12" s="133">
        <v>11.24</v>
      </c>
      <c r="P12" s="133">
        <v>-209.538</v>
      </c>
      <c r="Q12" s="133">
        <v>0</v>
      </c>
    </row>
    <row r="13" ht="19" customHeight="1" spans="2:2" x14ac:dyDescent="0.25">
      <c r="B13" s="135"/>
    </row>
    <row r="14" ht="19" customHeight="1" spans="1:17" x14ac:dyDescent="0.25">
      <c r="A14" s="13" t="s">
        <v>163</v>
      </c>
      <c r="B14" s="134">
        <v>-7.176</v>
      </c>
      <c r="C14" s="134">
        <v>-12.389</v>
      </c>
      <c r="D14" s="134">
        <v>-45.535</v>
      </c>
      <c r="E14" s="134">
        <v>-284.781</v>
      </c>
      <c r="F14" s="134">
        <v>6.752</v>
      </c>
      <c r="G14" s="134">
        <v>-563.142</v>
      </c>
      <c r="H14" s="134">
        <v>-34.739</v>
      </c>
      <c r="I14" s="134">
        <v>-339.231</v>
      </c>
      <c r="J14" s="134">
        <v>-322.611</v>
      </c>
      <c r="K14" s="134">
        <v>50.661</v>
      </c>
      <c r="L14" s="134">
        <v>783.034</v>
      </c>
      <c r="M14" s="134">
        <v>-304.369</v>
      </c>
      <c r="N14" s="134">
        <v>-721.582</v>
      </c>
      <c r="O14" s="134">
        <v>-273.288</v>
      </c>
      <c r="P14" s="134">
        <v>-1887.955</v>
      </c>
      <c r="Q14" s="134">
        <v>0</v>
      </c>
    </row>
    <row r="15" ht="19" customHeight="1" spans="1:17" s="120" customFormat="1" x14ac:dyDescent="0.25">
      <c r="A15" t="s">
        <v>164</v>
      </c>
      <c r="B15" s="132">
        <v>-12.806</v>
      </c>
      <c r="C15" s="132">
        <v>-3.352</v>
      </c>
      <c r="D15" s="132">
        <v>-3.873</v>
      </c>
      <c r="E15" s="132">
        <v>-202.829</v>
      </c>
      <c r="F15" s="132">
        <v>-140.216</v>
      </c>
      <c r="G15" s="132">
        <v>-394.728</v>
      </c>
      <c r="H15" s="132">
        <v>-30.535</v>
      </c>
      <c r="I15" s="132">
        <v>-202.314</v>
      </c>
      <c r="J15" s="132">
        <v>-258.529</v>
      </c>
      <c r="K15" s="132">
        <v>-6.124</v>
      </c>
      <c r="L15" s="132">
        <v>-84.234</v>
      </c>
      <c r="M15" s="132">
        <v>-56.879</v>
      </c>
      <c r="N15" s="132">
        <v>-83.087</v>
      </c>
      <c r="O15" s="132">
        <v>-36.17</v>
      </c>
      <c r="P15" s="132">
        <v>-22.097</v>
      </c>
      <c r="Q15" s="132">
        <v>0</v>
      </c>
    </row>
    <row r="16" ht="19" customHeight="1" spans="1:17" x14ac:dyDescent="0.25">
      <c r="A16" t="s">
        <v>165</v>
      </c>
      <c r="B16" s="132">
        <v>0</v>
      </c>
      <c r="C16" s="132">
        <v>0</v>
      </c>
      <c r="D16" s="132">
        <v>0</v>
      </c>
      <c r="E16" s="132">
        <v>0</v>
      </c>
      <c r="F16" s="132">
        <v>0</v>
      </c>
      <c r="G16" s="132">
        <v>-385.606</v>
      </c>
      <c r="H16" s="132">
        <v>0</v>
      </c>
      <c r="I16" s="132">
        <v>0</v>
      </c>
      <c r="J16" s="132">
        <v>245.108</v>
      </c>
      <c r="K16" s="132">
        <v>0</v>
      </c>
      <c r="L16" s="132">
        <v>131.84</v>
      </c>
      <c r="M16" s="132">
        <v>-48.98</v>
      </c>
      <c r="N16" s="132">
        <v>0</v>
      </c>
      <c r="O16" s="132">
        <v>0</v>
      </c>
      <c r="P16" s="132">
        <v>0</v>
      </c>
      <c r="Q16" s="132">
        <v>0</v>
      </c>
    </row>
    <row r="17" ht="19" customHeight="1" spans="1:17" x14ac:dyDescent="0.25">
      <c r="A17" t="s">
        <v>166</v>
      </c>
      <c r="B17" s="132">
        <v>0</v>
      </c>
      <c r="C17" s="132">
        <v>0</v>
      </c>
      <c r="D17" s="132">
        <v>0</v>
      </c>
      <c r="E17" s="132">
        <v>0</v>
      </c>
      <c r="F17" s="132">
        <v>0</v>
      </c>
      <c r="G17" s="132">
        <v>-24.632</v>
      </c>
      <c r="H17" s="132">
        <v>-66.96</v>
      </c>
      <c r="I17" s="132">
        <v>-120.734</v>
      </c>
      <c r="J17" s="132">
        <v>-122.227</v>
      </c>
      <c r="K17" s="132">
        <v>-21.127</v>
      </c>
      <c r="L17" s="132">
        <v>-131.84</v>
      </c>
      <c r="M17" s="132">
        <v>-434.397</v>
      </c>
      <c r="N17" s="132">
        <v>-877.199</v>
      </c>
      <c r="O17" s="132">
        <v>-96.459</v>
      </c>
      <c r="P17" s="132">
        <v>-2048.234</v>
      </c>
      <c r="Q17" s="132">
        <v>0</v>
      </c>
    </row>
    <row r="18" ht="19" customHeight="1" spans="1:17" x14ac:dyDescent="0.25">
      <c r="A18" t="s">
        <v>167</v>
      </c>
      <c r="B18" s="132">
        <v>0</v>
      </c>
      <c r="C18" s="132">
        <v>0</v>
      </c>
      <c r="D18" s="132">
        <v>0</v>
      </c>
      <c r="E18" s="132">
        <v>0</v>
      </c>
      <c r="F18" s="132">
        <v>139.515</v>
      </c>
      <c r="G18" s="132">
        <v>2.033</v>
      </c>
      <c r="H18" s="132">
        <v>0</v>
      </c>
      <c r="I18" s="132">
        <v>0</v>
      </c>
      <c r="J18" s="132">
        <v>52.256</v>
      </c>
      <c r="K18" s="132">
        <v>43.213</v>
      </c>
      <c r="L18" s="132">
        <v>972.458</v>
      </c>
      <c r="M18" s="132">
        <v>8.344</v>
      </c>
      <c r="N18" s="132">
        <v>0</v>
      </c>
      <c r="O18" s="132">
        <v>1.926</v>
      </c>
      <c r="P18" s="132">
        <v>298.702</v>
      </c>
      <c r="Q18" s="132">
        <v>0</v>
      </c>
    </row>
    <row r="19" ht="19" customHeight="1" spans="1:17" x14ac:dyDescent="0.25">
      <c r="A19" s="116" t="s">
        <v>168</v>
      </c>
      <c r="B19" s="133">
        <v>5.63</v>
      </c>
      <c r="C19" s="133">
        <v>-9.037</v>
      </c>
      <c r="D19" s="133">
        <v>-41.662</v>
      </c>
      <c r="E19" s="133">
        <v>-81.952</v>
      </c>
      <c r="F19" s="133">
        <v>7.453</v>
      </c>
      <c r="G19" s="133">
        <v>239.791</v>
      </c>
      <c r="H19" s="133">
        <v>62.756</v>
      </c>
      <c r="I19" s="133">
        <v>-16.183</v>
      </c>
      <c r="J19" s="133">
        <v>-239.219</v>
      </c>
      <c r="K19" s="133">
        <v>291.529</v>
      </c>
      <c r="L19" s="133">
        <v>-105.19</v>
      </c>
      <c r="M19" s="133">
        <v>227.543</v>
      </c>
      <c r="N19" s="133">
        <v>162.776</v>
      </c>
      <c r="O19" s="133">
        <v>-142.585</v>
      </c>
      <c r="P19" s="133">
        <v>-136.708</v>
      </c>
      <c r="Q19" s="133">
        <v>0</v>
      </c>
    </row>
    <row r="20" ht="19" customHeight="1" spans="2:2" x14ac:dyDescent="0.25">
      <c r="B20" s="132"/>
    </row>
    <row r="21" ht="19" customHeight="1" spans="1:17" x14ac:dyDescent="0.25">
      <c r="A21" s="13" t="s">
        <v>169</v>
      </c>
      <c r="B21" s="134">
        <v>22.81</v>
      </c>
      <c r="C21" s="134">
        <v>97.645</v>
      </c>
      <c r="D21" s="134">
        <v>349.45</v>
      </c>
      <c r="E21" s="134">
        <v>401.487</v>
      </c>
      <c r="F21" s="134">
        <v>617.819</v>
      </c>
      <c r="G21" s="134">
        <v>539.214</v>
      </c>
      <c r="H21" s="134">
        <v>967.156</v>
      </c>
      <c r="I21" s="134">
        <v>1161.174</v>
      </c>
      <c r="J21" s="134">
        <v>-132.034</v>
      </c>
      <c r="K21" s="134">
        <v>2128.995</v>
      </c>
      <c r="L21" s="134">
        <v>5760.107</v>
      </c>
      <c r="M21" s="134">
        <v>-2451.38</v>
      </c>
      <c r="N21" s="134">
        <v>-4323.207</v>
      </c>
      <c r="O21" s="134">
        <v>1465.339</v>
      </c>
      <c r="P21" s="134">
        <v>5721.336</v>
      </c>
      <c r="Q21" s="134">
        <v>0</v>
      </c>
    </row>
    <row r="22" ht="19" customHeight="1" spans="1:17" x14ac:dyDescent="0.25">
      <c r="A22" t="s">
        <v>170</v>
      </c>
      <c r="B22" s="132">
        <v>16.074</v>
      </c>
      <c r="C22" s="132">
        <v>79.514</v>
      </c>
      <c r="D22" s="132">
        <v>350.245</v>
      </c>
      <c r="E22" s="132">
        <v>134.092</v>
      </c>
      <c r="F22" s="132">
        <v>294.975</v>
      </c>
      <c r="G22" s="132">
        <v>620.647</v>
      </c>
      <c r="H22" s="132">
        <v>406.73</v>
      </c>
      <c r="I22" s="132">
        <v>546.776</v>
      </c>
      <c r="J22" s="132">
        <v>343.644</v>
      </c>
      <c r="K22" s="132">
        <v>2139.248</v>
      </c>
      <c r="L22" s="132">
        <v>632.206</v>
      </c>
      <c r="M22" s="132">
        <v>965.369</v>
      </c>
      <c r="N22" s="132">
        <v>454.609</v>
      </c>
      <c r="O22" s="132">
        <v>838.463</v>
      </c>
      <c r="P22" s="132">
        <v>875.45</v>
      </c>
      <c r="Q22" s="132">
        <v>0</v>
      </c>
    </row>
    <row r="23" ht="19" customHeight="1" spans="1:17" x14ac:dyDescent="0.25">
      <c r="A23" t="s">
        <v>171</v>
      </c>
      <c r="B23" s="132">
        <v>0</v>
      </c>
      <c r="C23" s="132">
        <v>0</v>
      </c>
      <c r="D23" s="132">
        <v>0</v>
      </c>
      <c r="E23" s="132">
        <v>230</v>
      </c>
      <c r="F23" s="132">
        <v>0</v>
      </c>
      <c r="G23" s="132">
        <v>0</v>
      </c>
      <c r="H23" s="132">
        <v>0.149</v>
      </c>
      <c r="I23" s="132">
        <v>0</v>
      </c>
      <c r="J23" s="132">
        <v>0</v>
      </c>
      <c r="K23" s="132">
        <v>5.145</v>
      </c>
      <c r="L23" s="132">
        <v>0</v>
      </c>
      <c r="M23" s="132">
        <v>0</v>
      </c>
      <c r="N23" s="132">
        <v>0</v>
      </c>
      <c r="O23" s="132">
        <v>0</v>
      </c>
      <c r="P23" s="132">
        <v>0</v>
      </c>
      <c r="Q23" s="132">
        <v>0</v>
      </c>
    </row>
    <row r="24" ht="19" customHeight="1" spans="1:17" s="136" customFormat="1" x14ac:dyDescent="0.25">
      <c r="A24" t="s">
        <v>172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-8.599</v>
      </c>
      <c r="J24" s="132">
        <v>-5.293</v>
      </c>
      <c r="K24" s="132">
        <v>-1.056</v>
      </c>
      <c r="L24" s="132">
        <v>-337.479</v>
      </c>
      <c r="M24" s="132">
        <v>-958.194</v>
      </c>
      <c r="N24" s="132">
        <v>-406.086</v>
      </c>
      <c r="O24" s="132">
        <v>-71.491</v>
      </c>
      <c r="P24" s="132">
        <v>0</v>
      </c>
      <c r="Q24" s="132">
        <v>0</v>
      </c>
    </row>
    <row r="25" ht="19" customHeight="1" spans="1:17" x14ac:dyDescent="0.25">
      <c r="A25" t="s">
        <v>173</v>
      </c>
      <c r="B25" s="132">
        <v>-2.027</v>
      </c>
      <c r="C25" s="132">
        <v>0</v>
      </c>
      <c r="D25" s="132">
        <v>-15.847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-10.054</v>
      </c>
      <c r="K25" s="132">
        <v>-9.708</v>
      </c>
      <c r="L25" s="132">
        <v>-30.947</v>
      </c>
      <c r="M25" s="132">
        <v>-52.896</v>
      </c>
      <c r="N25" s="132">
        <v>-54.621</v>
      </c>
      <c r="O25" s="132">
        <v>-41.446</v>
      </c>
      <c r="P25" s="132">
        <v>-52.16</v>
      </c>
      <c r="Q25" s="132">
        <v>0</v>
      </c>
    </row>
    <row r="26" ht="19" customHeight="1" spans="1:17" x14ac:dyDescent="0.25">
      <c r="A26" t="s">
        <v>174</v>
      </c>
      <c r="B26" s="132">
        <v>8.763</v>
      </c>
      <c r="C26" s="132">
        <v>18.131</v>
      </c>
      <c r="D26" s="132">
        <v>15.052</v>
      </c>
      <c r="E26" s="132">
        <v>37.395</v>
      </c>
      <c r="F26" s="132">
        <v>322.844</v>
      </c>
      <c r="G26" s="132">
        <v>-81.433</v>
      </c>
      <c r="H26" s="132">
        <v>560.426</v>
      </c>
      <c r="I26" s="132">
        <v>622.997</v>
      </c>
      <c r="J26" s="132">
        <v>-460.331</v>
      </c>
      <c r="K26" s="132">
        <v>-4.634</v>
      </c>
      <c r="L26" s="132">
        <v>5496.327</v>
      </c>
      <c r="M26" s="132">
        <v>-2405.659</v>
      </c>
      <c r="N26" s="132">
        <v>-4317.109</v>
      </c>
      <c r="O26" s="132">
        <v>739.813</v>
      </c>
      <c r="P26" s="132">
        <v>4898.046</v>
      </c>
      <c r="Q26" s="132">
        <v>0</v>
      </c>
    </row>
    <row r="27" ht="19" customHeight="1" spans="1:17" x14ac:dyDescent="0.25">
      <c r="A27" s="116" t="s">
        <v>175</v>
      </c>
      <c r="B27" s="133">
        <v>0</v>
      </c>
      <c r="C27" s="133">
        <v>0</v>
      </c>
      <c r="D27" s="133">
        <v>0</v>
      </c>
      <c r="E27" s="133">
        <v>0</v>
      </c>
      <c r="F27" s="133">
        <v>0</v>
      </c>
      <c r="G27" s="133">
        <v>0</v>
      </c>
      <c r="H27" s="133">
        <v>0</v>
      </c>
      <c r="I27" s="133">
        <v>0</v>
      </c>
      <c r="J27" s="133">
        <v>0</v>
      </c>
      <c r="K27" s="133">
        <v>0.348</v>
      </c>
      <c r="L27" s="133">
        <v>0</v>
      </c>
      <c r="M27" s="133">
        <v>0</v>
      </c>
      <c r="N27" s="133">
        <v>0</v>
      </c>
      <c r="O27" s="133">
        <v>0</v>
      </c>
      <c r="P27" s="133">
        <v>0</v>
      </c>
      <c r="Q27" s="133">
        <v>0</v>
      </c>
    </row>
    <row r="28" ht="19" customHeight="1" spans="2:2" x14ac:dyDescent="0.25">
      <c r="B28" s="132"/>
    </row>
    <row r="29" ht="19" customHeight="1" spans="1:17" x14ac:dyDescent="0.25">
      <c r="A29" s="13" t="s">
        <v>176</v>
      </c>
      <c r="B29" s="134">
        <v>2.987</v>
      </c>
      <c r="C29" s="134">
        <v>10.538</v>
      </c>
      <c r="D29" s="134">
        <v>-4.142</v>
      </c>
      <c r="E29" s="134">
        <v>18.316</v>
      </c>
      <c r="F29" s="134">
        <v>45.617</v>
      </c>
      <c r="G29" s="134">
        <v>29.216</v>
      </c>
      <c r="H29" s="134">
        <v>-6.105</v>
      </c>
      <c r="I29" s="134">
        <v>-61.642</v>
      </c>
      <c r="J29" s="134">
        <v>117.751</v>
      </c>
      <c r="K29" s="134">
        <v>33.002</v>
      </c>
      <c r="L29" s="134">
        <v>344.203</v>
      </c>
      <c r="M29" s="134">
        <v>-192.688</v>
      </c>
      <c r="N29" s="134">
        <v>988.446</v>
      </c>
      <c r="O29" s="134">
        <v>-390.168</v>
      </c>
      <c r="P29" s="134">
        <v>-699.889</v>
      </c>
      <c r="Q29" s="134">
        <v>-238.482</v>
      </c>
    </row>
    <row r="30" ht="19" customHeight="1" spans="1:17" s="136" customFormat="1" x14ac:dyDescent="0.25">
      <c r="A30" s="123" t="s">
        <v>177</v>
      </c>
      <c r="B30" s="132">
        <v>2.94</v>
      </c>
      <c r="C30" s="132">
        <v>5.927</v>
      </c>
      <c r="D30" s="132">
        <v>16.465</v>
      </c>
      <c r="E30" s="132">
        <v>12.323</v>
      </c>
      <c r="F30" s="132">
        <v>30.639</v>
      </c>
      <c r="G30" s="132">
        <v>76.256</v>
      </c>
      <c r="H30" s="132">
        <v>105.472</v>
      </c>
      <c r="I30" s="132">
        <v>99.367</v>
      </c>
      <c r="J30" s="132">
        <v>38.173</v>
      </c>
      <c r="K30" s="132">
        <v>155.289</v>
      </c>
      <c r="L30" s="132">
        <v>188.578</v>
      </c>
      <c r="M30" s="132">
        <v>532.781</v>
      </c>
      <c r="N30" s="132">
        <v>340.093</v>
      </c>
      <c r="O30" s="132">
        <v>1328.539</v>
      </c>
      <c r="P30" s="132">
        <v>938.371</v>
      </c>
      <c r="Q30" s="132">
        <v>238.482</v>
      </c>
    </row>
    <row r="31" ht="19" customHeight="1" spans="1:17" x14ac:dyDescent="0.25">
      <c r="A31" s="124" t="s">
        <v>178</v>
      </c>
      <c r="B31" s="133">
        <v>5.927</v>
      </c>
      <c r="C31" s="133">
        <v>16.465</v>
      </c>
      <c r="D31" s="133">
        <v>12.323</v>
      </c>
      <c r="E31" s="133">
        <v>30.639</v>
      </c>
      <c r="F31" s="133">
        <v>76.256</v>
      </c>
      <c r="G31" s="133">
        <v>105.472</v>
      </c>
      <c r="H31" s="133">
        <v>99.367</v>
      </c>
      <c r="I31" s="133">
        <v>37.725</v>
      </c>
      <c r="J31" s="133">
        <v>155.924</v>
      </c>
      <c r="K31" s="133">
        <v>188.291</v>
      </c>
      <c r="L31" s="133">
        <v>532.781</v>
      </c>
      <c r="M31" s="133">
        <v>340.093</v>
      </c>
      <c r="N31" s="133">
        <v>1328.539</v>
      </c>
      <c r="O31" s="133">
        <v>938.371</v>
      </c>
      <c r="P31" s="133">
        <v>238.482</v>
      </c>
      <c r="Q31" s="133">
        <v>0</v>
      </c>
    </row>
    <row r="32" ht="19" customHeight="1" spans="2:2" x14ac:dyDescent="0.25">
      <c r="B32" s="132"/>
    </row>
    <row r="33" ht="19" customHeight="1" spans="1:17" s="52" customFormat="1" x14ac:dyDescent="0.25">
      <c r="A33" s="13" t="s">
        <v>179</v>
      </c>
      <c r="B33" s="134">
        <v>-25.453</v>
      </c>
      <c r="C33" s="134">
        <v>-78.07</v>
      </c>
      <c r="D33" s="134">
        <v>-311.93</v>
      </c>
      <c r="E33" s="134">
        <v>-301.219</v>
      </c>
      <c r="F33" s="134">
        <v>-719.17</v>
      </c>
      <c r="G33" s="134">
        <v>-341.584</v>
      </c>
      <c r="H33" s="134">
        <v>-969.057</v>
      </c>
      <c r="I33" s="134">
        <v>-1085.899</v>
      </c>
      <c r="J33" s="134">
        <v>313.867</v>
      </c>
      <c r="K33" s="134">
        <v>-2153.126</v>
      </c>
      <c r="L33" s="134">
        <v>-6283.172</v>
      </c>
      <c r="M33" s="134">
        <v>2506.182</v>
      </c>
      <c r="N33" s="134">
        <v>5950.148</v>
      </c>
      <c r="O33" s="134">
        <v>-1618.389</v>
      </c>
      <c r="P33" s="134">
        <v>-4555.367</v>
      </c>
      <c r="Q33" s="134">
        <v>0</v>
      </c>
    </row>
    <row r="34" ht="19" customHeight="1" spans="1:17" s="120" customFormat="1" x14ac:dyDescent="0.25">
      <c r="A34" s="137" t="s">
        <v>70</v>
      </c>
      <c r="B34" s="138">
        <v>-0.367663840298141</v>
      </c>
      <c r="C34" s="138">
        <v>-1.0184061884449314</v>
      </c>
      <c r="D34" s="138">
        <v>-1.1427472386569706</v>
      </c>
      <c r="E34" s="138">
        <v>-0.7426247614727303</v>
      </c>
      <c r="F34" s="138">
        <v>-1.3649675351173045</v>
      </c>
      <c r="G34" s="138">
        <v>-0.43901617727008085</v>
      </c>
      <c r="H34" s="138">
        <v>-0.9557284115722139</v>
      </c>
      <c r="I34" s="138">
        <v>-1.0049828091234272</v>
      </c>
      <c r="J34" s="138">
        <v>0.2759527481242208</v>
      </c>
      <c r="K34" s="138">
        <v>-1.2818431265854662</v>
      </c>
      <c r="L34" s="138">
        <v>-1.5896176496111072</v>
      </c>
      <c r="M34" s="138">
        <v>0.704228803226741</v>
      </c>
      <c r="N34" s="138">
        <v>2.5631534532572133</v>
      </c>
      <c r="O34" s="138">
        <v>-0.7936699195388601</v>
      </c>
      <c r="P34" s="138">
        <v>-2.8583035656581943</v>
      </c>
      <c r="Q34" s="138">
        <v>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 showGridLines="0" zoomScale="87" zoomScaleNormal="100">
      <pane xSplit="1" ySplit="5" topLeftCell="B6" activePane="bottomRight" state="frozen"/>
      <selection pane="bottomRight"/>
    </sheetView>
  </sheetViews>
  <sheetFormatPr defaultRowHeight="16" outlineLevelRow="0" outlineLevelCol="0" x14ac:dyDescent="0.2" customHeight="1"/>
  <cols>
    <col min="1" max="1" width="45.6640625" customWidth="1"/>
    <col min="2" max="2" width="13.5" style="8" customWidth="1"/>
    <col min="3" max="14" width="13.5" customWidth="1"/>
  </cols>
  <sheetData>
    <row r="1" ht="51" customHeight="1" x14ac:dyDescent="0.25"/>
    <row r="3" ht="20" customHeight="1" spans="1:14" x14ac:dyDescent="0.25">
      <c r="A3" s="10" t="s">
        <v>180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ht="17" customHeight="1" x14ac:dyDescent="0.25"/>
    <row r="5" ht="20" customHeight="1" spans="1:14" x14ac:dyDescent="0.25">
      <c r="A5" s="11" t="s">
        <v>12</v>
      </c>
      <c r="B5" s="12" t="s">
        <v>103</v>
      </c>
      <c r="C5" s="12" t="s">
        <v>104</v>
      </c>
      <c r="D5" s="12" t="s">
        <v>105</v>
      </c>
      <c r="E5" s="12" t="s">
        <v>106</v>
      </c>
      <c r="F5" s="12" t="s">
        <v>107</v>
      </c>
      <c r="G5" s="12" t="s">
        <v>108</v>
      </c>
      <c r="H5" s="12" t="s">
        <v>109</v>
      </c>
      <c r="I5" s="12" t="s">
        <v>110</v>
      </c>
      <c r="J5" s="12" t="s">
        <v>44</v>
      </c>
      <c r="K5" s="12" t="s">
        <v>45</v>
      </c>
      <c r="L5" s="12" t="s">
        <v>46</v>
      </c>
      <c r="M5" s="12" t="s">
        <v>47</v>
      </c>
      <c r="N5" s="12" t="s">
        <v>48</v>
      </c>
    </row>
    <row r="6" ht="20" customHeight="1" spans="1:14" x14ac:dyDescent="0.25">
      <c r="A6" s="13" t="s">
        <v>181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ht="20" customHeight="1" spans="1:14" x14ac:dyDescent="0.25">
      <c r="A7" t="s">
        <v>182</v>
      </c>
      <c r="B7" s="132">
        <v>309.17446</v>
      </c>
      <c r="C7" s="132">
        <v>373.444169</v>
      </c>
      <c r="D7" s="132">
        <v>342.04632</v>
      </c>
      <c r="E7" s="132">
        <v>371.944349</v>
      </c>
      <c r="F7" s="132">
        <v>521.9619</v>
      </c>
      <c r="G7" s="132">
        <v>1246.61832</v>
      </c>
      <c r="H7" s="132">
        <v>2623.90304</v>
      </c>
      <c r="I7" s="132">
        <v>4677.31395</v>
      </c>
      <c r="J7" s="132">
        <v>4110.490789</v>
      </c>
      <c r="K7" s="132">
        <v>2842.29224</v>
      </c>
      <c r="L7" s="132">
        <v>4417.35119</v>
      </c>
      <c r="M7" s="132">
        <v>5198.15812</v>
      </c>
      <c r="N7" s="132">
        <v>6892.8735</v>
      </c>
    </row>
    <row r="8" ht="20" customHeight="1" spans="1:14" x14ac:dyDescent="0.25">
      <c r="A8" t="s">
        <v>88</v>
      </c>
      <c r="B8" s="132">
        <v>957.83046</v>
      </c>
      <c r="C8" s="132">
        <v>2478.919169</v>
      </c>
      <c r="D8" s="132">
        <v>3605.26632</v>
      </c>
      <c r="E8" s="132">
        <v>3834.930349</v>
      </c>
      <c r="F8" s="132">
        <v>4462.0319</v>
      </c>
      <c r="G8" s="132">
        <v>5463.40132</v>
      </c>
      <c r="H8" s="132">
        <v>8702.07704</v>
      </c>
      <c r="I8" s="132">
        <v>30949.29695</v>
      </c>
      <c r="J8" s="132">
        <v>18620.274789</v>
      </c>
      <c r="K8" s="132">
        <v>12527.41524</v>
      </c>
      <c r="L8" s="132">
        <v>17118.56619</v>
      </c>
      <c r="M8" s="132">
        <v>16441.80512</v>
      </c>
      <c r="N8" s="132">
        <v>25611.7185</v>
      </c>
    </row>
    <row r="9" ht="20" customHeight="1" spans="1:14" x14ac:dyDescent="0.25">
      <c r="A9" s="116" t="s">
        <v>183</v>
      </c>
      <c r="B9" s="133">
        <v>868.78</v>
      </c>
      <c r="C9" s="133">
        <v>1094.016</v>
      </c>
      <c r="D9" s="133">
        <v>1491.996</v>
      </c>
      <c r="E9" s="133">
        <v>2793.035</v>
      </c>
      <c r="F9" s="133">
        <v>4835.919</v>
      </c>
      <c r="G9" s="133">
        <v>4603.414</v>
      </c>
      <c r="H9" s="133">
        <v>6910.565</v>
      </c>
      <c r="I9" s="133">
        <v>26346.829</v>
      </c>
      <c r="J9" s="133">
        <v>13641.994</v>
      </c>
      <c r="K9" s="133">
        <v>10460.46</v>
      </c>
      <c r="L9" s="133">
        <v>12546.167</v>
      </c>
      <c r="M9" s="133">
        <v>19894.543</v>
      </c>
      <c r="N9" s="133">
        <v>21649.848</v>
      </c>
    </row>
    <row r="10" ht="20" customHeight="1" spans="2:2" x14ac:dyDescent="0.25">
      <c r="B10" s="135"/>
    </row>
    <row r="11" ht="20" customHeight="1" spans="1:14" x14ac:dyDescent="0.25">
      <c r="A11" s="13" t="s">
        <v>184</v>
      </c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ht="20" customHeight="1" spans="1:14" s="120" customFormat="1" x14ac:dyDescent="0.25">
      <c r="A12" s="139" t="s">
        <v>185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0" customHeight="1" spans="1:14" x14ac:dyDescent="0.25">
      <c r="A13" t="s">
        <v>186</v>
      </c>
      <c r="B13" s="141">
        <v>2.275147946422421</v>
      </c>
      <c r="C13" s="141">
        <v>4.969865412297761</v>
      </c>
      <c r="D13" s="141">
        <v>4.958125595653125</v>
      </c>
      <c r="E13" s="141">
        <v>4.170007099470883</v>
      </c>
      <c r="F13" s="141">
        <v>4.197398515775879</v>
      </c>
      <c r="G13" s="141">
        <v>4.725733260905669</v>
      </c>
      <c r="H13" s="141">
        <v>4.7340336797782605</v>
      </c>
      <c r="I13" s="141">
        <v>8.811827463630811</v>
      </c>
      <c r="J13" s="141">
        <v>7.34620048400568</v>
      </c>
      <c r="K13" s="141">
        <v>6.036351460419047</v>
      </c>
      <c r="L13" s="141">
        <v>7.631982016082004</v>
      </c>
      <c r="M13" s="141">
        <v>7.614026572072928</v>
      </c>
      <c r="N13" s="141">
        <v>8.250278319491448</v>
      </c>
    </row>
    <row r="14" ht="20" customHeight="1" spans="1:14" x14ac:dyDescent="0.25">
      <c r="A14" t="s">
        <v>187</v>
      </c>
      <c r="B14" s="141">
        <v>4.159055405992184</v>
      </c>
      <c r="C14" s="141">
        <v>8.18660104292574</v>
      </c>
      <c r="D14" s="141">
        <v>9.163236709205005</v>
      </c>
      <c r="E14" s="141">
        <v>7.296387792455379</v>
      </c>
      <c r="F14" s="141">
        <v>7.84167710868782</v>
      </c>
      <c r="G14" s="141">
        <v>9.36395804267718</v>
      </c>
      <c r="H14" s="141">
        <v>7.871464376104682</v>
      </c>
      <c r="I14" s="141">
        <v>13.091625674212887</v>
      </c>
      <c r="J14" s="141">
        <v>16.882951543380024</v>
      </c>
      <c r="K14" s="141">
        <v>9.728686239882952</v>
      </c>
      <c r="L14" s="141">
        <v>15.39238695493843</v>
      </c>
      <c r="M14" s="141">
        <v>14.219373862747947</v>
      </c>
      <c r="N14" s="141">
        <v>11.365972402199729</v>
      </c>
    </row>
    <row r="15" ht="20" customHeight="1" spans="1:14" x14ac:dyDescent="0.25">
      <c r="A15" t="s">
        <v>188</v>
      </c>
      <c r="B15" s="141">
        <v>4.890408201818655</v>
      </c>
      <c r="C15" s="141">
        <v>11.721378472435658</v>
      </c>
      <c r="D15" s="141">
        <v>14.127606634978232</v>
      </c>
      <c r="E15" s="141">
        <v>11.589113436362977</v>
      </c>
      <c r="F15" s="141">
        <v>12.988239934331556</v>
      </c>
      <c r="G15" s="141">
        <v>16.49757014651351</v>
      </c>
      <c r="H15" s="141">
        <v>22.639019938394938</v>
      </c>
      <c r="I15" s="141">
        <v>16.942282136188386</v>
      </c>
      <c r="J15" s="141">
        <v>10.68675125776959</v>
      </c>
      <c r="K15" s="141">
        <v>14.81964361636057</v>
      </c>
      <c r="L15" s="141">
        <v>54.51477528286685</v>
      </c>
      <c r="M15" s="141">
        <v>32.29056178230616</v>
      </c>
      <c r="N15" s="141">
        <v>29.640654041204805</v>
      </c>
    </row>
    <row r="16" ht="20" customHeight="1" spans="1:14" x14ac:dyDescent="0.25">
      <c r="A16" t="s">
        <v>189</v>
      </c>
      <c r="B16" s="141">
        <v>4.430810500751706</v>
      </c>
      <c r="C16" s="141">
        <v>9.54693582663216</v>
      </c>
      <c r="D16" s="141">
        <v>9.43310400766105</v>
      </c>
      <c r="E16" s="141">
        <v>5.994317173131841</v>
      </c>
      <c r="F16" s="141">
        <v>7.415166416283337</v>
      </c>
      <c r="G16" s="141">
        <v>12.257061527589263</v>
      </c>
      <c r="H16" s="141">
        <v>17.567035634402178</v>
      </c>
      <c r="I16" s="141">
        <v>12.66243032948024</v>
      </c>
      <c r="J16" s="141">
        <v>10.424547593627796</v>
      </c>
      <c r="K16" s="141">
        <v>14.050456638724453</v>
      </c>
      <c r="L16" s="141">
        <v>44.92059826547883</v>
      </c>
      <c r="M16" s="141">
        <v>36.107584219819216</v>
      </c>
      <c r="N16" s="141">
        <v>30.075987561753802</v>
      </c>
    </row>
    <row r="17" ht="20" customHeight="1" spans="1:14" x14ac:dyDescent="0.25">
      <c r="A17" t="s">
        <v>190</v>
      </c>
      <c r="B17" s="141">
        <v>-9.362041442674226</v>
      </c>
      <c r="C17" s="141">
        <v>-3.4174830416177255</v>
      </c>
      <c r="D17" s="141">
        <v>-8.945382166632344</v>
      </c>
      <c r="E17" s="141">
        <v>-2.853857055257183</v>
      </c>
      <c r="F17" s="141">
        <v>13.476021189396846</v>
      </c>
      <c r="G17" s="141">
        <v>11.027372275149363</v>
      </c>
      <c r="H17" s="141">
        <v>-4.702989057621645</v>
      </c>
      <c r="I17" s="141">
        <v>-7.049531417593889</v>
      </c>
      <c r="J17" s="141">
        <v>35.09915041140046</v>
      </c>
      <c r="K17" s="141">
        <v>2.347362811150644</v>
      </c>
      <c r="L17" s="141">
        <v>-11.239299736917955</v>
      </c>
      <c r="M17" s="141">
        <v>-7.745342408772569</v>
      </c>
      <c r="N17" s="141">
        <v>-13.398985438932506</v>
      </c>
    </row>
    <row r="18" ht="20" customHeight="1" spans="1:14" x14ac:dyDescent="0.25">
      <c r="A18" s="142" t="s">
        <v>191</v>
      </c>
      <c r="B18" s="143">
        <v>-8.446923646753797</v>
      </c>
      <c r="C18" s="143">
        <v>-2.3938928816302565</v>
      </c>
      <c r="D18" s="143">
        <v>-4.436912284847187</v>
      </c>
      <c r="E18" s="143">
        <v>-2.789226878452958</v>
      </c>
      <c r="F18" s="143">
        <v>32.011133510294854</v>
      </c>
      <c r="G18" s="143">
        <v>19.845624947783286</v>
      </c>
      <c r="H18" s="143">
        <v>-4.025239648120754</v>
      </c>
      <c r="I18" s="143">
        <v>-6.938755060417864</v>
      </c>
      <c r="J18" s="143">
        <v>38.075624167235816</v>
      </c>
      <c r="K18" s="143">
        <v>2.3866116496013174</v>
      </c>
      <c r="L18" s="143">
        <v>-10.934433377087505</v>
      </c>
      <c r="M18" s="143">
        <v>-7.665548875096975</v>
      </c>
      <c r="N18" s="143">
        <v>-13.152216289886002</v>
      </c>
    </row>
    <row r="19" ht="20" customHeight="1" spans="1:14" s="120" customFormat="1" x14ac:dyDescent="0.25">
      <c r="A19" s="139" t="s">
        <v>192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</row>
    <row r="20" ht="20" customHeight="1" spans="1:14" x14ac:dyDescent="0.25">
      <c r="A20" t="s">
        <v>193</v>
      </c>
      <c r="B20" s="141">
        <v>0.7343863732995722</v>
      </c>
      <c r="C20" s="141">
        <v>0.7487001924657671</v>
      </c>
      <c r="D20" s="141">
        <v>0.47039759717139545</v>
      </c>
      <c r="E20" s="141">
        <v>0.4044429584862001</v>
      </c>
      <c r="F20" s="141">
        <v>0.49100547765056485</v>
      </c>
      <c r="G20" s="141">
        <v>1.0783000027679361</v>
      </c>
      <c r="H20" s="141">
        <v>1.4274345431251854</v>
      </c>
      <c r="I20" s="141">
        <v>1.331716309653797</v>
      </c>
      <c r="J20" s="141">
        <v>1.621699452120405</v>
      </c>
      <c r="K20" s="141">
        <v>1.3695622429022096</v>
      </c>
      <c r="L20" s="141">
        <v>1.969390687667075</v>
      </c>
      <c r="M20" s="141">
        <v>2.4072122107427494</v>
      </c>
      <c r="N20" s="141">
        <v>2.220394730484295</v>
      </c>
    </row>
    <row r="21" ht="20" customHeight="1" spans="1:14" x14ac:dyDescent="0.25">
      <c r="A21" t="s">
        <v>194</v>
      </c>
      <c r="B21" s="141">
        <v>1.3424857142857143</v>
      </c>
      <c r="C21" s="141">
        <v>1.233294922094306</v>
      </c>
      <c r="D21" s="141">
        <v>0.8693536392264308</v>
      </c>
      <c r="E21" s="141">
        <v>0.7076661009564434</v>
      </c>
      <c r="F21" s="141">
        <v>0.9173078038364543</v>
      </c>
      <c r="G21" s="141">
        <v>2.1366326506127344</v>
      </c>
      <c r="H21" s="141">
        <v>2.3734516726035304</v>
      </c>
      <c r="I21" s="141">
        <v>1.9785148429413384</v>
      </c>
      <c r="J21" s="141">
        <v>3.7269706057825522</v>
      </c>
      <c r="K21" s="141">
        <v>2.207300458655036</v>
      </c>
      <c r="L21" s="141">
        <v>3.9719201992545936</v>
      </c>
      <c r="M21" s="141">
        <v>4.495525470986668</v>
      </c>
      <c r="N21" s="141">
        <v>3.058920469270887</v>
      </c>
    </row>
    <row r="22" ht="20" customHeight="1" spans="1:14" x14ac:dyDescent="0.25">
      <c r="A22" t="s">
        <v>195</v>
      </c>
      <c r="B22" s="141">
        <v>1.578556308364691</v>
      </c>
      <c r="C22" s="141">
        <v>1.7658020067427311</v>
      </c>
      <c r="D22" s="141">
        <v>1.3403436614640685</v>
      </c>
      <c r="E22" s="141">
        <v>1.124011353608858</v>
      </c>
      <c r="F22" s="141">
        <v>1.5193451202757142</v>
      </c>
      <c r="G22" s="141">
        <v>3.7643533717433053</v>
      </c>
      <c r="H22" s="141">
        <v>6.826254578754579</v>
      </c>
      <c r="I22" s="141">
        <v>2.5604579227907065</v>
      </c>
      <c r="J22" s="141">
        <v>2.35913771988728</v>
      </c>
      <c r="K22" s="141">
        <v>3.3623662378375183</v>
      </c>
      <c r="L22" s="141">
        <v>14.067235818442951</v>
      </c>
      <c r="M22" s="141">
        <v>10.208821032909583</v>
      </c>
      <c r="N22" s="141">
        <v>7.977179616560619</v>
      </c>
    </row>
    <row r="23" ht="20" customHeight="1" spans="1:14" x14ac:dyDescent="0.25">
      <c r="A23" t="s">
        <v>196</v>
      </c>
      <c r="B23" s="141">
        <v>1.4302045102347636</v>
      </c>
      <c r="C23" s="141">
        <v>1.438226611362726</v>
      </c>
      <c r="D23" s="141">
        <v>0.8949570504954303</v>
      </c>
      <c r="E23" s="141">
        <v>0.5813801544639327</v>
      </c>
      <c r="F23" s="141">
        <v>0.8674152131138824</v>
      </c>
      <c r="G23" s="141">
        <v>2.7967700988255353</v>
      </c>
      <c r="H23" s="141">
        <v>5.296919114025242</v>
      </c>
      <c r="I23" s="141">
        <v>1.91365128961293</v>
      </c>
      <c r="J23" s="141">
        <v>2.301255343901422</v>
      </c>
      <c r="K23" s="141">
        <v>3.1878486589307786</v>
      </c>
      <c r="L23" s="141">
        <v>11.591511578781637</v>
      </c>
      <c r="M23" s="141">
        <v>11.415591581092595</v>
      </c>
      <c r="N23" s="141">
        <v>8.094340785868875</v>
      </c>
    </row>
    <row r="24" ht="20" customHeight="1" spans="1:14" x14ac:dyDescent="0.25">
      <c r="A24" t="s">
        <v>197</v>
      </c>
      <c r="B24" s="141">
        <v>-3.0219378359886617</v>
      </c>
      <c r="C24" s="141">
        <v>-0.5148369218764648</v>
      </c>
      <c r="D24" s="141">
        <v>-0.8486848902441748</v>
      </c>
      <c r="E24" s="141">
        <v>-0.27679146893332274</v>
      </c>
      <c r="F24" s="141">
        <v>1.576405050904687</v>
      </c>
      <c r="G24" s="141">
        <v>2.516184240271274</v>
      </c>
      <c r="H24" s="141">
        <v>-1.418073780392568</v>
      </c>
      <c r="I24" s="141">
        <v>-1.0653835430815877</v>
      </c>
      <c r="J24" s="141">
        <v>7.748260221864073</v>
      </c>
      <c r="K24" s="141">
        <v>0.5325832164718809</v>
      </c>
      <c r="L24" s="141">
        <v>-2.900239045524946</v>
      </c>
      <c r="M24" s="141">
        <v>-2.4487283628831555</v>
      </c>
      <c r="N24" s="141">
        <v>-3.6060646090149606</v>
      </c>
    </row>
    <row r="25" ht="20" customHeight="1" spans="1:14" x14ac:dyDescent="0.25">
      <c r="A25" t="s">
        <v>198</v>
      </c>
      <c r="B25" s="141">
        <v>-2.7265504347672715</v>
      </c>
      <c r="C25" s="141">
        <v>-0.36063513043713386</v>
      </c>
      <c r="D25" s="141">
        <v>-0.42094796458608696</v>
      </c>
      <c r="E25" s="141">
        <v>-0.27052308154436516</v>
      </c>
      <c r="F25" s="141">
        <v>3.7446151086878543</v>
      </c>
      <c r="G25" s="141">
        <v>4.5282998964746906</v>
      </c>
      <c r="H25" s="141">
        <v>-1.213714668450301</v>
      </c>
      <c r="I25" s="141">
        <v>-1.0486421029905033</v>
      </c>
      <c r="J25" s="141">
        <v>8.405327214467706</v>
      </c>
      <c r="K25" s="141">
        <v>0.5414882193651485</v>
      </c>
      <c r="L25" s="141">
        <v>-2.821569969946952</v>
      </c>
      <c r="M25" s="141">
        <v>-2.423501242018261</v>
      </c>
      <c r="N25" s="141">
        <v>-3.539651707901738</v>
      </c>
    </row>
    <row r="26" ht="20" customHeight="1" spans="1:14" x14ac:dyDescent="0.25">
      <c r="A26" t="s">
        <v>199</v>
      </c>
      <c r="B26" s="141">
        <v>2.604605275351086</v>
      </c>
      <c r="C26" s="141">
        <v>10.82792104729044</v>
      </c>
      <c r="D26" s="141">
        <v>7.914074965293845</v>
      </c>
      <c r="E26" s="141">
        <v>6.629315028695683</v>
      </c>
      <c r="F26" s="141">
        <v>8.531158982070183</v>
      </c>
      <c r="G26" s="141">
        <v>11.204248672065287</v>
      </c>
      <c r="H26" s="141">
        <v>9.402884183291347</v>
      </c>
      <c r="I26" s="141">
        <v>3.473061227065932</v>
      </c>
      <c r="J26" s="141">
        <v>3.203285187704906</v>
      </c>
      <c r="K26" s="141">
        <v>4.652075034412323</v>
      </c>
      <c r="L26" s="141">
        <v>20.159967094904502</v>
      </c>
      <c r="M26" s="141">
        <v>30.560861886508476</v>
      </c>
      <c r="N26" s="141">
        <v>13.820713404914434</v>
      </c>
    </row>
    <row r="27" ht="20" customHeight="1" spans="1:14" x14ac:dyDescent="0.25">
      <c r="A27" s="142" t="s">
        <v>200</v>
      </c>
      <c r="B27" s="143">
        <v>0.5240591496726055</v>
      </c>
      <c r="C27" s="143">
        <v>0.4872394236276647</v>
      </c>
      <c r="D27" s="143">
        <v>0.34574335368090997</v>
      </c>
      <c r="E27" s="143">
        <v>0.28823868261412705</v>
      </c>
      <c r="F27" s="143">
        <v>0.3282178544681445</v>
      </c>
      <c r="G27" s="143">
        <v>0.6503948536815689</v>
      </c>
      <c r="H27" s="143">
        <v>1.3726120506608817</v>
      </c>
      <c r="I27" s="143">
        <v>1.5502799398225502</v>
      </c>
      <c r="J27" s="143">
        <v>1.1729841745945413</v>
      </c>
      <c r="K27" s="143">
        <v>0.8162604183119908</v>
      </c>
      <c r="L27" s="143">
        <v>1.2363583004489664</v>
      </c>
      <c r="M27" s="143">
        <v>1.3901873941278002</v>
      </c>
      <c r="N27" s="143">
        <v>1.6380846581870325</v>
      </c>
    </row>
    <row r="28" ht="20" customHeight="1" spans="1:14" s="120" customFormat="1" x14ac:dyDescent="0.25">
      <c r="A28" s="139" t="s">
        <v>201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</row>
    <row r="29" ht="20" customHeight="1" spans="1:14" x14ac:dyDescent="0.25">
      <c r="A29" t="s">
        <v>202</v>
      </c>
      <c r="B29" s="141">
        <v>0.0501895636574197</v>
      </c>
      <c r="C29" s="141">
        <v>0.20864913306575575</v>
      </c>
      <c r="D29" s="141">
        <v>0.1525006391637083</v>
      </c>
      <c r="E29" s="141">
        <v>0.1277438972371589</v>
      </c>
      <c r="F29" s="141">
        <v>0.16439156860129744</v>
      </c>
      <c r="G29" s="141">
        <v>0.215900795902512</v>
      </c>
      <c r="H29" s="141">
        <v>0.1811893182996924</v>
      </c>
      <c r="I29" s="141">
        <v>0.06692431639893902</v>
      </c>
      <c r="J29" s="141">
        <v>0.061725854340640506</v>
      </c>
      <c r="K29" s="141">
        <v>0.08964337832236698</v>
      </c>
      <c r="L29" s="141">
        <v>0.38847343258367945</v>
      </c>
      <c r="M29" s="141">
        <v>0.5888939631636798</v>
      </c>
      <c r="N29" s="141">
        <v>0.26631888593307323</v>
      </c>
    </row>
    <row r="30" ht="20" customHeight="1" spans="1:14" x14ac:dyDescent="0.25">
      <c r="A30" s="116" t="s">
        <v>203</v>
      </c>
      <c r="B30" s="144">
        <v>0.07478672479722255</v>
      </c>
      <c r="C30" s="144">
        <v>0.31090498017232554</v>
      </c>
      <c r="D30" s="144">
        <v>0.2272389417525997</v>
      </c>
      <c r="E30" s="144">
        <v>0.19034928760110362</v>
      </c>
      <c r="F30" s="144">
        <v>0.2449574394367434</v>
      </c>
      <c r="G30" s="144">
        <v>0.3217105754669274</v>
      </c>
      <c r="H30" s="144">
        <v>0.26998751725294645</v>
      </c>
      <c r="I30" s="144">
        <v>0.09972293178185035</v>
      </c>
      <c r="J30" s="144">
        <v>0.09197678053063699</v>
      </c>
      <c r="K30" s="144">
        <v>0.133576269167207</v>
      </c>
      <c r="L30" s="144">
        <v>0.578858503173559</v>
      </c>
      <c r="M30" s="144">
        <v>0.8775021647624353</v>
      </c>
      <c r="N30" s="144">
        <v>0.3968378240250996</v>
      </c>
    </row>
    <row r="31" ht="20" customHeight="1" spans="2:2" x14ac:dyDescent="0.25">
      <c r="B31" s="135"/>
    </row>
    <row r="32" ht="20" customHeight="1" spans="1:14" x14ac:dyDescent="0.25">
      <c r="A32" s="13" t="s">
        <v>204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</row>
    <row r="33" ht="20" customHeight="1" spans="1:14" s="120" customFormat="1" x14ac:dyDescent="0.25">
      <c r="A33" s="139" t="s">
        <v>185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</row>
    <row r="34" ht="20" customHeight="1" spans="1:14" x14ac:dyDescent="0.25">
      <c r="A34" t="s">
        <v>188</v>
      </c>
      <c r="B34" s="141">
        <v>3.5664644624810076</v>
      </c>
      <c r="C34" s="141">
        <v>9.230210868008365</v>
      </c>
      <c r="D34" s="141">
        <v>10.78729513989979</v>
      </c>
      <c r="E34" s="141">
        <v>11.461874944662199</v>
      </c>
      <c r="F34" s="141">
        <v>13.334831274647744</v>
      </c>
      <c r="G34" s="141">
        <v>16.293711492568626</v>
      </c>
      <c r="H34" s="141">
        <v>5.300566437014583</v>
      </c>
      <c r="I34" s="141">
        <v>21.264388184610937</v>
      </c>
      <c r="J34" s="141">
        <v>19.952769714640578</v>
      </c>
      <c r="K34" s="141">
        <v>12.750422708761628</v>
      </c>
      <c r="L34" s="141">
        <v>19.001881126232018</v>
      </c>
      <c r="M34" s="141">
        <v>22.320319283123123</v>
      </c>
      <c r="N34" s="141">
        <v>27.807104831590117</v>
      </c>
    </row>
    <row r="35" ht="20" customHeight="1" spans="1:14" x14ac:dyDescent="0.25">
      <c r="A35" t="s">
        <v>189</v>
      </c>
      <c r="B35" s="141">
        <v>2.0018079190704117</v>
      </c>
      <c r="C35" s="141">
        <v>5.180791622809369</v>
      </c>
      <c r="D35" s="141">
        <v>7.036917515506879</v>
      </c>
      <c r="E35" s="141">
        <v>6.995227588482093</v>
      </c>
      <c r="F35" s="141">
        <v>8.938631946592029</v>
      </c>
      <c r="G35" s="141">
        <v>9.439452598822488</v>
      </c>
      <c r="H35" s="141">
        <v>5.330760578234377</v>
      </c>
      <c r="I35" s="141">
        <v>20.605313282679937</v>
      </c>
      <c r="J35" s="141">
        <v>18.95158898825399</v>
      </c>
      <c r="K35" s="141">
        <v>11.28214502997962</v>
      </c>
      <c r="L35" s="141">
        <v>18.002215997600633</v>
      </c>
      <c r="M35" s="141">
        <v>20.810484730499226</v>
      </c>
      <c r="N35" s="141">
        <v>25.926122408655484</v>
      </c>
    </row>
    <row r="36" ht="20" customHeight="1" spans="1:14" x14ac:dyDescent="0.25">
      <c r="A36" s="142" t="s">
        <v>186</v>
      </c>
      <c r="B36" s="143">
        <v>1.1177480885023743</v>
      </c>
      <c r="C36" s="143">
        <v>2.8927949970411717</v>
      </c>
      <c r="D36" s="143">
        <v>3.7761755179341816</v>
      </c>
      <c r="E36" s="143">
        <v>3.484881428790551</v>
      </c>
      <c r="F36" s="143">
        <v>3.755141467888225</v>
      </c>
      <c r="G36" s="143">
        <v>4.392826694721358</v>
      </c>
      <c r="H36" s="143">
        <v>2.701373463274277</v>
      </c>
      <c r="I36" s="143">
        <v>9.093163176874683</v>
      </c>
      <c r="J36" s="143">
        <v>9.947081037876815</v>
      </c>
      <c r="K36" s="143">
        <v>8.011052320158447</v>
      </c>
      <c r="L36" s="143">
        <v>9.34395118851652</v>
      </c>
      <c r="M36" s="143">
        <v>7.465508847236389</v>
      </c>
      <c r="N36" s="143">
        <v>9.300681788612101</v>
      </c>
    </row>
    <row r="37" ht="20" customHeight="1" spans="1:14" s="120" customFormat="1" x14ac:dyDescent="0.25">
      <c r="A37" s="139" t="s">
        <v>192</v>
      </c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</row>
    <row r="38" ht="20" customHeight="1" spans="1:14" x14ac:dyDescent="0.25">
      <c r="A38" t="s">
        <v>199</v>
      </c>
      <c r="B38" s="141">
        <v>6.776393548287831</v>
      </c>
      <c r="C38" s="141">
        <v>8.185037850336377</v>
      </c>
      <c r="D38" s="141">
        <v>5.937598664492017</v>
      </c>
      <c r="E38" s="141">
        <v>3.6803543726015118</v>
      </c>
      <c r="F38" s="141">
        <v>4.638420875284855</v>
      </c>
      <c r="G38" s="141">
        <v>5.10955663353074</v>
      </c>
      <c r="H38" s="141">
        <v>2.1748809005217593</v>
      </c>
      <c r="I38" s="141">
        <v>4.35168784500686</v>
      </c>
      <c r="J38" s="141">
        <v>5.991584666740616</v>
      </c>
      <c r="K38" s="141">
        <v>3.6727594944891155</v>
      </c>
      <c r="L38" s="141">
        <v>6.242393212752622</v>
      </c>
      <c r="M38" s="141">
        <v>8.61171017896324</v>
      </c>
      <c r="N38" s="141">
        <v>9.152643095281261</v>
      </c>
    </row>
    <row r="39" ht="20" customHeight="1" spans="1:14" x14ac:dyDescent="0.25">
      <c r="A39" t="s">
        <v>195</v>
      </c>
      <c r="B39" s="141">
        <v>1.1512055320278245</v>
      </c>
      <c r="C39" s="141">
        <v>1.3905126356696274</v>
      </c>
      <c r="D39" s="141">
        <v>1.023434686333133</v>
      </c>
      <c r="E39" s="141">
        <v>1.111670676293629</v>
      </c>
      <c r="F39" s="141">
        <v>1.559888863254106</v>
      </c>
      <c r="G39" s="141">
        <v>3.7178376724905493</v>
      </c>
      <c r="H39" s="141">
        <v>1.5982589356396382</v>
      </c>
      <c r="I39" s="141">
        <v>3.2136503667523826</v>
      </c>
      <c r="J39" s="141">
        <v>4.40464370458804</v>
      </c>
      <c r="K39" s="141">
        <v>2.892889461037212</v>
      </c>
      <c r="L39" s="141">
        <v>4.903330178098259</v>
      </c>
      <c r="M39" s="141">
        <v>7.056679487182672</v>
      </c>
      <c r="N39" s="141">
        <v>7.483717111969253</v>
      </c>
    </row>
    <row r="40" ht="20" customHeight="1" spans="1:14" x14ac:dyDescent="0.25">
      <c r="A40" t="s">
        <v>196</v>
      </c>
      <c r="B40" s="141">
        <v>0.6461559829725171</v>
      </c>
      <c r="C40" s="141">
        <v>0.7804758003152971</v>
      </c>
      <c r="D40" s="141">
        <v>0.6676210650431702</v>
      </c>
      <c r="E40" s="141">
        <v>0.6784570082695945</v>
      </c>
      <c r="F40" s="141">
        <v>1.0456279602671315</v>
      </c>
      <c r="G40" s="141">
        <v>2.153858713872354</v>
      </c>
      <c r="H40" s="141">
        <v>1.6073632562027216</v>
      </c>
      <c r="I40" s="141">
        <v>3.114045511822173</v>
      </c>
      <c r="J40" s="141">
        <v>4.183629557344223</v>
      </c>
      <c r="K40" s="141">
        <v>2.559758150817522</v>
      </c>
      <c r="L40" s="141">
        <v>4.64537212854263</v>
      </c>
      <c r="M40" s="141">
        <v>6.579337815614528</v>
      </c>
      <c r="N40" s="141">
        <v>6.9774889220486145</v>
      </c>
    </row>
    <row r="41" ht="20" customHeight="1" spans="1:14" x14ac:dyDescent="0.25">
      <c r="A41" s="116" t="s">
        <v>193</v>
      </c>
      <c r="B41" s="144">
        <v>0.36079366454764217</v>
      </c>
      <c r="C41" s="144">
        <v>0.43579372706742653</v>
      </c>
      <c r="D41" s="144">
        <v>0.3582611726679545</v>
      </c>
      <c r="E41" s="144">
        <v>0.33799361042155174</v>
      </c>
      <c r="F41" s="144">
        <v>0.4392709015253179</v>
      </c>
      <c r="G41" s="144">
        <v>1.0023386373206595</v>
      </c>
      <c r="H41" s="144">
        <v>0.8145345082420351</v>
      </c>
      <c r="I41" s="144">
        <v>1.3742340915056641</v>
      </c>
      <c r="J41" s="144">
        <v>2.1958529316540267</v>
      </c>
      <c r="K41" s="144">
        <v>1.8175937659603232</v>
      </c>
      <c r="L41" s="144">
        <v>2.4111548504574474</v>
      </c>
      <c r="M41" s="144">
        <v>2.3602575964720884</v>
      </c>
      <c r="N41" s="144">
        <v>2.5030894757279545</v>
      </c>
    </row>
    <row r="42" ht="20" customHeight="1" spans="2:2" x14ac:dyDescent="0.25">
      <c r="B42" s="135"/>
    </row>
    <row r="43" ht="20" customHeight="1" spans="1:14" x14ac:dyDescent="0.25">
      <c r="A43" s="13" t="s">
        <v>205</v>
      </c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</row>
    <row r="44" ht="20" customHeight="1" spans="1:14" s="120" customFormat="1" x14ac:dyDescent="0.25">
      <c r="A44" s="139" t="s">
        <v>206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</row>
    <row r="45" ht="20" customHeight="1" spans="1:14" x14ac:dyDescent="0.25">
      <c r="A45" t="s">
        <v>188</v>
      </c>
      <c r="B45" s="141">
        <v>3.360539882719274</v>
      </c>
      <c r="C45" s="141">
        <v>8.69726645930828</v>
      </c>
      <c r="D45" s="141">
        <v>12.649045694563261</v>
      </c>
      <c r="E45" s="141">
        <v>11.474471397182356</v>
      </c>
      <c r="F45" s="141">
        <v>13.336161802842032</v>
      </c>
      <c r="G45" s="141">
        <v>21.04666851646475</v>
      </c>
      <c r="H45" s="141">
        <v>19.02317728248934</v>
      </c>
      <c r="I45" s="141">
        <v>18.85168377714606</v>
      </c>
      <c r="J45" s="141">
        <v>12.793465108852175</v>
      </c>
      <c r="K45" s="141">
        <v>16.229672115548908</v>
      </c>
      <c r="L45" s="141">
        <v>20.161506237299438</v>
      </c>
      <c r="M45" s="141">
        <v>29.845599560892364</v>
      </c>
      <c r="N45" s="141">
        <v>34.27666398377312</v>
      </c>
    </row>
    <row r="46" ht="20" customHeight="1" spans="1:14" x14ac:dyDescent="0.25">
      <c r="A46" t="s">
        <v>189</v>
      </c>
      <c r="B46" s="141">
        <v>3.079753751390061</v>
      </c>
      <c r="C46" s="141">
        <v>7.970576139456332</v>
      </c>
      <c r="D46" s="141">
        <v>11.592168904067053</v>
      </c>
      <c r="E46" s="141">
        <v>7.48518584842901</v>
      </c>
      <c r="F46" s="141">
        <v>8.139112252396277</v>
      </c>
      <c r="G46" s="141">
        <v>11.186032889381593</v>
      </c>
      <c r="H46" s="141">
        <v>7.90322191379142</v>
      </c>
      <c r="I46" s="141">
        <v>18.95907047761518</v>
      </c>
      <c r="J46" s="141">
        <v>12.39694057675482</v>
      </c>
      <c r="K46" s="141">
        <v>12.750317982003356</v>
      </c>
      <c r="L46" s="141">
        <v>15.416919020156127</v>
      </c>
      <c r="M46" s="141">
        <v>27.82672533800919</v>
      </c>
      <c r="N46" s="141">
        <v>31.95805508331301</v>
      </c>
    </row>
    <row r="47" ht="20" customHeight="1" spans="1:14" x14ac:dyDescent="0.25">
      <c r="A47" t="s">
        <v>186</v>
      </c>
      <c r="B47" s="141">
        <v>1.319684934897051</v>
      </c>
      <c r="C47" s="141">
        <v>3.415418927225197</v>
      </c>
      <c r="D47" s="141">
        <v>4.967283718243551</v>
      </c>
      <c r="E47" s="141">
        <v>4.3419630886806875</v>
      </c>
      <c r="F47" s="141">
        <v>4.9156600716467205</v>
      </c>
      <c r="G47" s="141">
        <v>5.659796249870507</v>
      </c>
      <c r="H47" s="141">
        <v>5.902447713426006</v>
      </c>
      <c r="I47" s="141">
        <v>8.35896235680932</v>
      </c>
      <c r="J47" s="141">
        <v>5.766321086244378</v>
      </c>
      <c r="K47" s="141">
        <v>6.41784057466613</v>
      </c>
      <c r="L47" s="141">
        <v>11.698825639129828</v>
      </c>
      <c r="M47" s="141">
        <v>9.98250003652259</v>
      </c>
      <c r="N47" s="141">
        <v>11.46456443683069</v>
      </c>
    </row>
    <row r="48" ht="20" customHeight="1" spans="1:14" x14ac:dyDescent="0.25">
      <c r="A48" t="s">
        <v>199</v>
      </c>
      <c r="B48" s="141">
        <v>6.410495220769713</v>
      </c>
      <c r="C48" s="141">
        <v>7.743078327358661</v>
      </c>
      <c r="D48" s="141">
        <v>7.092068017655365</v>
      </c>
      <c r="E48" s="141">
        <v>6.456599888433397</v>
      </c>
      <c r="F48" s="141">
        <v>5.164763836699858</v>
      </c>
      <c r="G48" s="141">
        <v>15.284919725740142</v>
      </c>
      <c r="H48" s="141">
        <v>7.720840666073525</v>
      </c>
      <c r="I48" s="141">
        <v>3.876896597203225</v>
      </c>
      <c r="J48" s="141">
        <v>3.8243258762263355</v>
      </c>
      <c r="K48" s="141">
        <v>4.143017331246622</v>
      </c>
      <c r="L48" s="141">
        <v>22.817603799704536</v>
      </c>
      <c r="M48" s="141">
        <v>13.445830625969995</v>
      </c>
      <c r="N48" s="141">
        <v>12.835989793400078</v>
      </c>
    </row>
    <row r="49" ht="20" customHeight="1" spans="1:14" x14ac:dyDescent="0.25">
      <c r="A49" t="s">
        <v>195</v>
      </c>
      <c r="B49" s="141">
        <v>1.084735918241935</v>
      </c>
      <c r="C49" s="141">
        <v>1.3102256362712215</v>
      </c>
      <c r="D49" s="141">
        <v>1.200066554677494</v>
      </c>
      <c r="E49" s="141">
        <v>1.1128923880082995</v>
      </c>
      <c r="F49" s="141">
        <v>1.5600445064767137</v>
      </c>
      <c r="G49" s="141">
        <v>4.802349490883122</v>
      </c>
      <c r="H49" s="141">
        <v>5.73598377405111</v>
      </c>
      <c r="I49" s="141">
        <v>2.849022504591464</v>
      </c>
      <c r="J49" s="141">
        <v>2.8242021713017884</v>
      </c>
      <c r="K49" s="141">
        <v>3.6822816381529186</v>
      </c>
      <c r="L49" s="141">
        <v>5.202565015144361</v>
      </c>
      <c r="M49" s="141">
        <v>9.435834117447627</v>
      </c>
      <c r="N49" s="141">
        <v>9.224867470027604</v>
      </c>
    </row>
    <row r="50" ht="20" customHeight="1" spans="1:14" x14ac:dyDescent="0.25">
      <c r="A50" t="s">
        <v>196</v>
      </c>
      <c r="B50" s="141">
        <v>0.9941020282639544</v>
      </c>
      <c r="C50" s="141">
        <v>1.2007512064426245</v>
      </c>
      <c r="D50" s="141">
        <v>1.0997963430492337</v>
      </c>
      <c r="E50" s="141">
        <v>0.7259773513915105</v>
      </c>
      <c r="F50" s="141">
        <v>0.952101327553046</v>
      </c>
      <c r="G50" s="141">
        <v>2.55238682118736</v>
      </c>
      <c r="H50" s="141">
        <v>2.3830273979500327</v>
      </c>
      <c r="I50" s="141">
        <v>2.8652516717017917</v>
      </c>
      <c r="J50" s="141">
        <v>2.7366679938920337</v>
      </c>
      <c r="K50" s="141">
        <v>2.892865700026129</v>
      </c>
      <c r="L50" s="141">
        <v>3.9782505628072293</v>
      </c>
      <c r="M50" s="141">
        <v>8.79755703300674</v>
      </c>
      <c r="N50" s="141">
        <v>8.6008610080307</v>
      </c>
    </row>
    <row r="51" ht="20" customHeight="1" spans="1:14" x14ac:dyDescent="0.25">
      <c r="A51" s="142" t="s">
        <v>193</v>
      </c>
      <c r="B51" s="143">
        <v>0.42597609301016687</v>
      </c>
      <c r="C51" s="143">
        <v>0.5145259672097381</v>
      </c>
      <c r="D51" s="143">
        <v>0.4712664656133152</v>
      </c>
      <c r="E51" s="143">
        <v>0.42112072122052707</v>
      </c>
      <c r="F51" s="143">
        <v>0.5750266533842706</v>
      </c>
      <c r="G51" s="143">
        <v>1.2914309748264787</v>
      </c>
      <c r="H51" s="143">
        <v>1.779741828015297</v>
      </c>
      <c r="I51" s="143">
        <v>1.2632755859428046</v>
      </c>
      <c r="J51" s="143">
        <v>1.272935549019195</v>
      </c>
      <c r="K51" s="143">
        <v>1.4561166939438561</v>
      </c>
      <c r="L51" s="143">
        <v>3.018817159395091</v>
      </c>
      <c r="M51" s="143">
        <v>3.156016826864701</v>
      </c>
      <c r="N51" s="143">
        <v>3.0854545116007226</v>
      </c>
    </row>
    <row r="52" ht="20" customHeight="1" spans="1:14" s="120" customFormat="1" x14ac:dyDescent="0.25">
      <c r="A52" s="139" t="s">
        <v>207</v>
      </c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</row>
    <row r="53" ht="20" customHeight="1" spans="1:14" x14ac:dyDescent="0.25">
      <c r="A53" t="s">
        <v>188</v>
      </c>
      <c r="B53" s="141">
        <v>3.360539882719274</v>
      </c>
      <c r="C53" s="141">
        <v>8.69726645930828</v>
      </c>
      <c r="D53" s="141">
        <v>12.649045694563261</v>
      </c>
      <c r="E53" s="141">
        <v>11.474471397182356</v>
      </c>
      <c r="F53" s="141">
        <v>13.336161802842032</v>
      </c>
      <c r="G53" s="141">
        <v>21.04666851646475</v>
      </c>
      <c r="H53" s="141">
        <v>19.02317728248934</v>
      </c>
      <c r="I53" s="141">
        <v>18.85168377714606</v>
      </c>
      <c r="J53" s="141">
        <v>12.793465108852175</v>
      </c>
      <c r="K53" s="141">
        <v>16.229672115548908</v>
      </c>
      <c r="L53" s="141">
        <v>20.161506237299438</v>
      </c>
      <c r="M53" s="141">
        <v>29.845599560892364</v>
      </c>
      <c r="N53" s="141">
        <v>34.27666398377312</v>
      </c>
    </row>
    <row r="54" ht="20" customHeight="1" spans="1:14" x14ac:dyDescent="0.25">
      <c r="A54" t="s">
        <v>189</v>
      </c>
      <c r="B54" s="141">
        <v>3.079753751390061</v>
      </c>
      <c r="C54" s="141">
        <v>7.970576139456332</v>
      </c>
      <c r="D54" s="141">
        <v>11.592168904067053</v>
      </c>
      <c r="E54" s="141">
        <v>7.48518584842901</v>
      </c>
      <c r="F54" s="141">
        <v>8.139112252396277</v>
      </c>
      <c r="G54" s="141">
        <v>11.186032889381593</v>
      </c>
      <c r="H54" s="141">
        <v>7.90322191379142</v>
      </c>
      <c r="I54" s="141">
        <v>18.95907047761518</v>
      </c>
      <c r="J54" s="141">
        <v>12.39694057675482</v>
      </c>
      <c r="K54" s="141">
        <v>12.750317982003356</v>
      </c>
      <c r="L54" s="141">
        <v>15.416919020156127</v>
      </c>
      <c r="M54" s="141">
        <v>27.82672533800919</v>
      </c>
      <c r="N54" s="141">
        <v>31.95805508331301</v>
      </c>
    </row>
    <row r="55" ht="20" customHeight="1" spans="1:14" x14ac:dyDescent="0.25">
      <c r="A55" t="s">
        <v>186</v>
      </c>
      <c r="B55" s="141">
        <v>1.319684934897051</v>
      </c>
      <c r="C55" s="141">
        <v>3.415418927225197</v>
      </c>
      <c r="D55" s="141">
        <v>4.967283718243551</v>
      </c>
      <c r="E55" s="141">
        <v>4.3419630886806875</v>
      </c>
      <c r="F55" s="141">
        <v>4.9156600716467205</v>
      </c>
      <c r="G55" s="141">
        <v>5.659796249870507</v>
      </c>
      <c r="H55" s="141">
        <v>5.902447713426006</v>
      </c>
      <c r="I55" s="141">
        <v>8.35896235680932</v>
      </c>
      <c r="J55" s="141">
        <v>5.766321086244378</v>
      </c>
      <c r="K55" s="141">
        <v>6.41784057466613</v>
      </c>
      <c r="L55" s="141">
        <v>11.698825639129828</v>
      </c>
      <c r="M55" s="141">
        <v>9.98250003652259</v>
      </c>
      <c r="N55" s="141">
        <v>11.46456443683069</v>
      </c>
    </row>
    <row r="56" ht="20" customHeight="1" spans="1:14" x14ac:dyDescent="0.25">
      <c r="A56" t="s">
        <v>199</v>
      </c>
      <c r="B56" s="141">
        <v>6.410495220769713</v>
      </c>
      <c r="C56" s="141">
        <v>7.743078327358661</v>
      </c>
      <c r="D56" s="141">
        <v>7.092068017655365</v>
      </c>
      <c r="E56" s="141">
        <v>6.456599888433397</v>
      </c>
      <c r="F56" s="141">
        <v>5.164763836699858</v>
      </c>
      <c r="G56" s="141">
        <v>15.284919725740142</v>
      </c>
      <c r="H56" s="141">
        <v>7.720840666073525</v>
      </c>
      <c r="I56" s="141">
        <v>3.876896597203225</v>
      </c>
      <c r="J56" s="141">
        <v>3.8243258762263355</v>
      </c>
      <c r="K56" s="141">
        <v>4.143017331246622</v>
      </c>
      <c r="L56" s="141">
        <v>22.817603799704536</v>
      </c>
      <c r="M56" s="141">
        <v>13.445830625969995</v>
      </c>
      <c r="N56" s="141">
        <v>12.835989793400078</v>
      </c>
    </row>
    <row r="57" ht="20" customHeight="1" spans="1:14" x14ac:dyDescent="0.25">
      <c r="A57" t="s">
        <v>195</v>
      </c>
      <c r="B57" s="141">
        <v>1.084735918241935</v>
      </c>
      <c r="C57" s="141">
        <v>1.3102256362712215</v>
      </c>
      <c r="D57" s="141">
        <v>1.200066554677494</v>
      </c>
      <c r="E57" s="141">
        <v>1.1128923880082995</v>
      </c>
      <c r="F57" s="141">
        <v>1.5600445064767137</v>
      </c>
      <c r="G57" s="141">
        <v>4.802349490883122</v>
      </c>
      <c r="H57" s="141">
        <v>5.73598377405111</v>
      </c>
      <c r="I57" s="141">
        <v>2.849022504591464</v>
      </c>
      <c r="J57" s="141">
        <v>2.8242021713017884</v>
      </c>
      <c r="K57" s="141">
        <v>3.6822816381529186</v>
      </c>
      <c r="L57" s="141">
        <v>5.202565015144361</v>
      </c>
      <c r="M57" s="141">
        <v>9.435834117447627</v>
      </c>
      <c r="N57" s="141">
        <v>9.224867470027604</v>
      </c>
    </row>
    <row r="58" ht="20" customHeight="1" spans="1:14" x14ac:dyDescent="0.25">
      <c r="A58" t="s">
        <v>196</v>
      </c>
      <c r="B58" s="141">
        <v>0.9941020282639544</v>
      </c>
      <c r="C58" s="141">
        <v>1.2007512064426245</v>
      </c>
      <c r="D58" s="141">
        <v>1.0997963430492337</v>
      </c>
      <c r="E58" s="141">
        <v>0.7259773513915105</v>
      </c>
      <c r="F58" s="141">
        <v>0.952101327553046</v>
      </c>
      <c r="G58" s="141">
        <v>2.55238682118736</v>
      </c>
      <c r="H58" s="141">
        <v>2.3830273979500327</v>
      </c>
      <c r="I58" s="141">
        <v>2.8652516717017917</v>
      </c>
      <c r="J58" s="141">
        <v>2.7366679938920337</v>
      </c>
      <c r="K58" s="141">
        <v>2.892865700026129</v>
      </c>
      <c r="L58" s="141">
        <v>3.9782505628072293</v>
      </c>
      <c r="M58" s="141">
        <v>8.79755703300674</v>
      </c>
      <c r="N58" s="141">
        <v>8.6008610080307</v>
      </c>
    </row>
    <row r="59" ht="20" customHeight="1" spans="1:14" x14ac:dyDescent="0.25">
      <c r="A59" s="116" t="s">
        <v>193</v>
      </c>
      <c r="B59" s="144">
        <v>0.42597609301016687</v>
      </c>
      <c r="C59" s="144">
        <v>0.5145259672097381</v>
      </c>
      <c r="D59" s="144">
        <v>0.4712664656133152</v>
      </c>
      <c r="E59" s="144">
        <v>0.42112072122052707</v>
      </c>
      <c r="F59" s="144">
        <v>0.5750266533842706</v>
      </c>
      <c r="G59" s="144">
        <v>1.2914309748264787</v>
      </c>
      <c r="H59" s="144">
        <v>1.779741828015297</v>
      </c>
      <c r="I59" s="144">
        <v>1.2632755859428046</v>
      </c>
      <c r="J59" s="144">
        <v>1.272935549019195</v>
      </c>
      <c r="K59" s="144">
        <v>1.4561166939438561</v>
      </c>
      <c r="L59" s="144">
        <v>3.018817159395091</v>
      </c>
      <c r="M59" s="144">
        <v>3.156016826864701</v>
      </c>
      <c r="N59" s="144">
        <v>3.0854545116007226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Key DCF Assumptions</vt:lpstr>
      <vt:lpstr>WACC &amp; Cost of Equity</vt:lpstr>
      <vt:lpstr>DCF Model &amp; Sensitivity</vt:lpstr>
      <vt:lpstr>KPI Data</vt:lpstr>
      <vt:lpstr>Income Statement</vt:lpstr>
      <vt:lpstr>Balance Sheet</vt:lpstr>
      <vt:lpstr>Cash Flow Statement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Narinian</dc:creator>
  <cp:lastModifiedBy>George Narinian</cp:lastModifiedBy>
  <dcterms:created xsi:type="dcterms:W3CDTF">2025-06-28T22:49:00Z</dcterms:created>
  <dcterms:modified xsi:type="dcterms:W3CDTF">2025-08-14T11:29:54Z</dcterms:modified>
</cp:coreProperties>
</file>